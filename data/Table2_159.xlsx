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ja\GitHub_C\Dietary_Risk_Factor_Database\data\"/>
    </mc:Choice>
  </mc:AlternateContent>
  <xr:revisionPtr revIDLastSave="0" documentId="13_ncr:1_{A25C4269-1B12-43C4-8304-6D4CD11F7051}" xr6:coauthVersionLast="47" xr6:coauthVersionMax="47" xr10:uidLastSave="{00000000-0000-0000-0000-000000000000}"/>
  <bookViews>
    <workbookView xWindow="-28920" yWindow="-120" windowWidth="29040" windowHeight="17520" xr2:uid="{E5375B6C-5EBE-4E93-ACB0-4AAF6EE490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8" i="1" l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24" i="1"/>
  <c r="H123" i="1"/>
  <c r="H122" i="1"/>
  <c r="H114" i="1"/>
  <c r="H113" i="1"/>
  <c r="H112" i="1"/>
  <c r="H111" i="1"/>
  <c r="H110" i="1"/>
  <c r="H104" i="1"/>
  <c r="H103" i="1"/>
  <c r="H89" i="1"/>
  <c r="H88" i="1"/>
  <c r="H86" i="1"/>
  <c r="H81" i="1"/>
  <c r="H77" i="1"/>
  <c r="H76" i="1"/>
  <c r="H75" i="1"/>
  <c r="H74" i="1"/>
  <c r="H73" i="1"/>
  <c r="H71" i="1"/>
  <c r="H70" i="1"/>
  <c r="H69" i="1"/>
  <c r="H68" i="1"/>
  <c r="H67" i="1"/>
  <c r="H66" i="1"/>
  <c r="H65" i="1"/>
  <c r="H58" i="1"/>
  <c r="H14" i="1"/>
  <c r="H9" i="1"/>
  <c r="H8" i="1"/>
  <c r="H7" i="1"/>
  <c r="H6" i="1"/>
</calcChain>
</file>

<file path=xl/sharedStrings.xml><?xml version="1.0" encoding="utf-8"?>
<sst xmlns="http://schemas.openxmlformats.org/spreadsheetml/2006/main" count="2030" uniqueCount="567">
  <si>
    <t>Source</t>
  </si>
  <si>
    <t>Exposure</t>
  </si>
  <si>
    <t>Outcome</t>
  </si>
  <si>
    <t># of Studies</t>
  </si>
  <si>
    <t>Sample Size (# cases)</t>
  </si>
  <si>
    <t>Study Designs Included</t>
  </si>
  <si>
    <r>
      <t>I</t>
    </r>
    <r>
      <rPr>
        <b/>
        <vertAlign val="superscript"/>
        <sz val="9"/>
        <color theme="1"/>
        <rFont val="Aptos Narrow"/>
        <family val="2"/>
      </rPr>
      <t xml:space="preserve">2 </t>
    </r>
    <r>
      <rPr>
        <b/>
        <sz val="9"/>
        <color theme="1"/>
        <rFont val="Aptos Narrow"/>
        <family val="2"/>
      </rPr>
      <t>(P</t>
    </r>
    <r>
      <rPr>
        <b/>
        <vertAlign val="subscript"/>
        <sz val="9"/>
        <color theme="1"/>
        <rFont val="Aptos Narrow"/>
        <family val="2"/>
      </rPr>
      <t>heterogeneity</t>
    </r>
    <r>
      <rPr>
        <b/>
        <sz val="9"/>
        <color theme="1"/>
        <rFont val="Aptos Narrow"/>
        <family val="2"/>
      </rPr>
      <t>)</t>
    </r>
  </si>
  <si>
    <t>Linearity</t>
  </si>
  <si>
    <t>Search Method</t>
  </si>
  <si>
    <t>Chen et al. 2024 [42]</t>
  </si>
  <si>
    <t>ASBs</t>
  </si>
  <si>
    <t>All-Cause Mortality</t>
  </si>
  <si>
    <t>355mL/day</t>
  </si>
  <si>
    <t>1.06 [1.02-1.09]</t>
  </si>
  <si>
    <t>954,868 (90,345)</t>
  </si>
  <si>
    <t>Prospective Cohort Studies</t>
  </si>
  <si>
    <t>71% (&lt;0.001)</t>
  </si>
  <si>
    <r>
      <t>Moderate</t>
    </r>
    <r>
      <rPr>
        <vertAlign val="superscript"/>
        <sz val="9"/>
        <color rgb="FF000000"/>
        <rFont val="Aptos Narrow"/>
        <family val="2"/>
      </rPr>
      <t>B</t>
    </r>
  </si>
  <si>
    <t xml:space="preserve">Non-linear </t>
  </si>
  <si>
    <t>Updated Search</t>
  </si>
  <si>
    <t>Moderate</t>
  </si>
  <si>
    <t>CVD Mortality</t>
  </si>
  <si>
    <t>1.07 [1.02-1.12]</t>
  </si>
  <si>
    <t>1,117,083 (17,263)</t>
  </si>
  <si>
    <t>58% (0.015)</t>
  </si>
  <si>
    <t>Linear – no evidence of non-linearity</t>
  </si>
  <si>
    <t>Cancer Mortality</t>
  </si>
  <si>
    <t>1.00 [0.98-1.01]</t>
  </si>
  <si>
    <t>1,707,901 (161,151)</t>
  </si>
  <si>
    <t>47% (0.068)</t>
  </si>
  <si>
    <r>
      <t>Low</t>
    </r>
    <r>
      <rPr>
        <vertAlign val="superscript"/>
        <sz val="9"/>
        <color rgb="FF000000"/>
        <rFont val="Aptos Narrow"/>
        <family val="2"/>
      </rPr>
      <t>B</t>
    </r>
  </si>
  <si>
    <t>Pan et al. 2023 [4]</t>
  </si>
  <si>
    <t>Pancreatic Cancer</t>
  </si>
  <si>
    <t>250mL/day</t>
  </si>
  <si>
    <t>Not provided</t>
  </si>
  <si>
    <t>1.03 [0.96-1.10]</t>
  </si>
  <si>
    <t>- (-)</t>
  </si>
  <si>
    <r>
      <t>0.0% (0.89)</t>
    </r>
    <r>
      <rPr>
        <vertAlign val="superscript"/>
        <sz val="9"/>
        <color theme="1"/>
        <rFont val="Aptos Narrow"/>
        <family val="2"/>
      </rPr>
      <t>7</t>
    </r>
  </si>
  <si>
    <r>
      <t>Low</t>
    </r>
    <r>
      <rPr>
        <vertAlign val="superscript"/>
        <sz val="9"/>
        <color theme="1"/>
        <rFont val="Aptos Narrow"/>
        <family val="2"/>
      </rPr>
      <t>A</t>
    </r>
  </si>
  <si>
    <t>Low</t>
  </si>
  <si>
    <t>WCRF 2018 [43]</t>
  </si>
  <si>
    <t>Coffee</t>
  </si>
  <si>
    <t>Endometrial Cancer</t>
  </si>
  <si>
    <t>200mL/day</t>
  </si>
  <si>
    <t>Unclear</t>
  </si>
  <si>
    <t>0.93 [0.91-0.95]</t>
  </si>
  <si>
    <t>10% (0.354)</t>
  </si>
  <si>
    <r>
      <t>Probable</t>
    </r>
    <r>
      <rPr>
        <vertAlign val="superscript"/>
        <sz val="9"/>
        <color theme="1"/>
        <rFont val="Aptos Narrow"/>
        <family val="2"/>
      </rPr>
      <t>C</t>
    </r>
  </si>
  <si>
    <t>Linear – no non-linear assessment</t>
  </si>
  <si>
    <t>NNR</t>
  </si>
  <si>
    <t>Decaffeinated Coffee</t>
  </si>
  <si>
    <t>0.92 [0.87-0.97]</t>
  </si>
  <si>
    <t>0.0% (0.810)</t>
  </si>
  <si>
    <t>Liver Cancer</t>
  </si>
  <si>
    <t>0.86 [0.81-0.90]</t>
  </si>
  <si>
    <t>18% (0.294)</t>
  </si>
  <si>
    <t>Skin Cancer (basal cell carcinoma)</t>
  </si>
  <si>
    <t>0.96 [0.94-0.97]</t>
  </si>
  <si>
    <t>0.0% (-)</t>
  </si>
  <si>
    <r>
      <t>Limited - Suggestive</t>
    </r>
    <r>
      <rPr>
        <vertAlign val="superscript"/>
        <sz val="9"/>
        <color theme="1"/>
        <rFont val="Aptos Narrow"/>
        <family val="2"/>
      </rPr>
      <t>C</t>
    </r>
  </si>
  <si>
    <t>Qi et al. 2023 [44]</t>
  </si>
  <si>
    <t>Renal Cell Carcinoma</t>
  </si>
  <si>
    <r>
      <t>200mL/day</t>
    </r>
    <r>
      <rPr>
        <vertAlign val="superscript"/>
        <sz val="9"/>
        <color theme="1"/>
        <rFont val="Aptos Narrow"/>
        <family val="2"/>
      </rPr>
      <t>6</t>
    </r>
  </si>
  <si>
    <t>0-1,300mL/day</t>
  </si>
  <si>
    <t>0.95 [0.93-0.97]</t>
  </si>
  <si>
    <r>
      <t>2,794,638 (7,164)</t>
    </r>
    <r>
      <rPr>
        <vertAlign val="superscript"/>
        <sz val="9"/>
        <color theme="1"/>
        <rFont val="Aptos Narrow"/>
        <family val="2"/>
      </rPr>
      <t>8</t>
    </r>
  </si>
  <si>
    <t>Cohort, Case Cohorts, and Nested Case-Control Studies</t>
  </si>
  <si>
    <t>25% (-)</t>
  </si>
  <si>
    <t>Bladder Cancer</t>
  </si>
  <si>
    <t>0-900mL/day</t>
  </si>
  <si>
    <t>1.00 [0.99-1.01]</t>
  </si>
  <si>
    <t>38% (-)</t>
  </si>
  <si>
    <t>Li et al. 2024 [45]</t>
  </si>
  <si>
    <t>Dementia</t>
  </si>
  <si>
    <r>
      <t>200mL/day</t>
    </r>
    <r>
      <rPr>
        <vertAlign val="superscript"/>
        <sz val="9"/>
        <color theme="1"/>
        <rFont val="Aptos Narrow"/>
        <family val="2"/>
      </rPr>
      <t>6</t>
    </r>
    <r>
      <rPr>
        <sz val="9"/>
        <color theme="1"/>
        <rFont val="Aptos Narrow"/>
        <family val="2"/>
      </rPr>
      <t> </t>
    </r>
  </si>
  <si>
    <t>0-1,600mL/day</t>
  </si>
  <si>
    <t>0.99 [0.98-1.01]</t>
  </si>
  <si>
    <t>47% (0.06)</t>
  </si>
  <si>
    <t>Non-linear</t>
  </si>
  <si>
    <t>Alzheimer’s Disease</t>
  </si>
  <si>
    <t>0-1,000mL/day</t>
  </si>
  <si>
    <t>1.03 [1.00-1.06]</t>
  </si>
  <si>
    <t>51% (0.06)</t>
  </si>
  <si>
    <t>Mate</t>
  </si>
  <si>
    <t>Oesophageal Cancer (squamous cell carcinoma)</t>
  </si>
  <si>
    <t>1.16 [1.07-1.25]</t>
  </si>
  <si>
    <t>Case-Control Studies</t>
  </si>
  <si>
    <t>89% (-)</t>
  </si>
  <si>
    <t>SSBs</t>
  </si>
  <si>
    <t>Colorectal Cancer</t>
  </si>
  <si>
    <t>1.10 [1.04-1.15]</t>
  </si>
  <si>
    <r>
      <t>0.0% (0.66)</t>
    </r>
    <r>
      <rPr>
        <vertAlign val="superscript"/>
        <sz val="9"/>
        <color theme="1"/>
        <rFont val="Aptos Narrow"/>
        <family val="2"/>
      </rPr>
      <t>7</t>
    </r>
  </si>
  <si>
    <r>
      <t>Moderate</t>
    </r>
    <r>
      <rPr>
        <vertAlign val="superscript"/>
        <sz val="9"/>
        <color theme="1"/>
        <rFont val="Aptos Narrow"/>
        <family val="2"/>
      </rPr>
      <t>A</t>
    </r>
  </si>
  <si>
    <t>Breast Cancer</t>
  </si>
  <si>
    <t>1.17 [1.00-1.37]</t>
  </si>
  <si>
    <r>
      <t>66% (0.008)</t>
    </r>
    <r>
      <rPr>
        <vertAlign val="superscript"/>
        <sz val="9"/>
        <color theme="1"/>
        <rFont val="Aptos Narrow"/>
        <family val="2"/>
      </rPr>
      <t>7</t>
    </r>
    <r>
      <rPr>
        <sz val="9"/>
        <color theme="1"/>
        <rFont val="Aptos Narrow"/>
        <family val="2"/>
      </rPr>
      <t xml:space="preserve"> </t>
    </r>
  </si>
  <si>
    <t>Kidney Cancer</t>
  </si>
  <si>
    <t>1.06 [0.98-1.15]</t>
  </si>
  <si>
    <r>
      <t>0.0% (0.61)</t>
    </r>
    <r>
      <rPr>
        <vertAlign val="superscript"/>
        <sz val="9"/>
        <color theme="1"/>
        <rFont val="Aptos Narrow"/>
        <family val="2"/>
      </rPr>
      <t>7</t>
    </r>
  </si>
  <si>
    <t>1.08 [0.97-1.21]</t>
  </si>
  <si>
    <r>
      <t>53% (0.05)</t>
    </r>
    <r>
      <rPr>
        <vertAlign val="superscript"/>
        <sz val="9"/>
        <color theme="1"/>
        <rFont val="Aptos Narrow"/>
        <family val="2"/>
      </rPr>
      <t>7</t>
    </r>
  </si>
  <si>
    <t>Prostate Cancer</t>
  </si>
  <si>
    <t>1.10 [1.00-1.22]</t>
  </si>
  <si>
    <r>
      <t>0.0% (0.78)</t>
    </r>
    <r>
      <rPr>
        <vertAlign val="superscript"/>
        <sz val="9"/>
        <color theme="1"/>
        <rFont val="Aptos Narrow"/>
        <family val="2"/>
      </rPr>
      <t>7</t>
    </r>
  </si>
  <si>
    <t>Tea</t>
  </si>
  <si>
    <t>0-1,500mL/day</t>
  </si>
  <si>
    <t>0.97 [0.94-0.99]</t>
  </si>
  <si>
    <t>12% (-)</t>
  </si>
  <si>
    <t>Linear - no evidence of non-linearity</t>
  </si>
  <si>
    <t>0-700mL/day</t>
  </si>
  <si>
    <t>0.98 [0.92-1.04]</t>
  </si>
  <si>
    <t>19% (-)</t>
  </si>
  <si>
    <t>0.96 [0.93-0.99]</t>
  </si>
  <si>
    <t>66% (0.02)</t>
  </si>
  <si>
    <t>0.98 [0.96-1.01]</t>
  </si>
  <si>
    <t>0.0% (0.32)</t>
  </si>
  <si>
    <t>Reynolds et al.  2019 [6]</t>
  </si>
  <si>
    <t>Whole Grain</t>
  </si>
  <si>
    <t>15g/day</t>
  </si>
  <si>
    <t>0.94 [0.92-0.95]</t>
  </si>
  <si>
    <t>8,200,000 (person-years)</t>
  </si>
  <si>
    <t>Prospective Observational Studies</t>
  </si>
  <si>
    <t>80% (&lt;0.001)</t>
  </si>
  <si>
    <t>Non-linear - no assessment</t>
  </si>
  <si>
    <t>Reynolds et al. 2019 [6]</t>
  </si>
  <si>
    <t>7,600,000 (person-years)</t>
  </si>
  <si>
    <t>82% (0.005)</t>
  </si>
  <si>
    <r>
      <t>CRC Incidence</t>
    </r>
    <r>
      <rPr>
        <vertAlign val="superscript"/>
        <sz val="9"/>
        <color theme="1"/>
        <rFont val="Aptos Narrow"/>
        <family val="2"/>
      </rPr>
      <t>†</t>
    </r>
    <r>
      <rPr>
        <sz val="9"/>
        <color theme="1"/>
        <rFont val="Aptos Narrow"/>
        <family val="2"/>
      </rPr>
      <t> </t>
    </r>
  </si>
  <si>
    <t>0.97 [0.95-0.99]</t>
  </si>
  <si>
    <t>5,700,000 (person-years)</t>
  </si>
  <si>
    <t>45% (0.009)</t>
  </si>
  <si>
    <t>CVD Incidence</t>
  </si>
  <si>
    <t>0.98 [0.96-0.99]</t>
  </si>
  <si>
    <t>900,000 (person-years)</t>
  </si>
  <si>
    <t>15% (0.948)</t>
  </si>
  <si>
    <t>0.93 [0.91-0.96]</t>
  </si>
  <si>
    <t>6,100,000 (person-years)</t>
  </si>
  <si>
    <t>77% (&lt;0.001)</t>
  </si>
  <si>
    <r>
      <t>IHD Incidence</t>
    </r>
    <r>
      <rPr>
        <vertAlign val="superscript"/>
        <sz val="9"/>
        <color theme="1"/>
        <rFont val="Aptos Narrow"/>
        <family val="2"/>
      </rPr>
      <t>†</t>
    </r>
  </si>
  <si>
    <t>0.93 [0.89-0.98]</t>
  </si>
  <si>
    <t>2,400,000 (person-years)</t>
  </si>
  <si>
    <t>67% (&lt;0.001)</t>
  </si>
  <si>
    <r>
      <t>IHD Mortality</t>
    </r>
    <r>
      <rPr>
        <vertAlign val="superscript"/>
        <sz val="9"/>
        <color theme="1"/>
        <rFont val="Aptos Narrow"/>
        <family val="2"/>
      </rPr>
      <t>†</t>
    </r>
  </si>
  <si>
    <t>0.91 [0.89-0.94]</t>
  </si>
  <si>
    <t>1,900,000 (person-years)</t>
  </si>
  <si>
    <t>1% (0.276)</t>
  </si>
  <si>
    <t>Stroke Mortality</t>
  </si>
  <si>
    <t>0.94 [0.90-0.98]</t>
  </si>
  <si>
    <t>34% (0.717)</t>
  </si>
  <si>
    <r>
      <t>T2D Incidence</t>
    </r>
    <r>
      <rPr>
        <vertAlign val="superscript"/>
        <sz val="9"/>
        <color theme="1"/>
        <rFont val="Aptos Narrow"/>
        <family val="2"/>
      </rPr>
      <t>†</t>
    </r>
  </si>
  <si>
    <t>0.88 [0.81-0.95]</t>
  </si>
  <si>
    <t>3,500,000 (person-years)</t>
  </si>
  <si>
    <t>89% (&lt;0.001)</t>
  </si>
  <si>
    <t>Dietary Fibre</t>
  </si>
  <si>
    <t>Breast Cancer Incidence</t>
  </si>
  <si>
    <t>8g/day</t>
  </si>
  <si>
    <t>0.96 [0.95-0.98]</t>
  </si>
  <si>
    <t>11,600,000 (person-years)</t>
  </si>
  <si>
    <t>22% (0.564)</t>
  </si>
  <si>
    <t>0.92 [0.89-0.95]</t>
  </si>
  <si>
    <t>20,900,000 (person-years)</t>
  </si>
  <si>
    <t>34% (0.129)</t>
  </si>
  <si>
    <t>0.78 [0.68-0.90]</t>
  </si>
  <si>
    <t>1,800,000 (person-years)</t>
  </si>
  <si>
    <t>79% (&lt;0.001)</t>
  </si>
  <si>
    <t>0.81 [0.73-0.90]</t>
  </si>
  <si>
    <t>2,500,000 (person-years)</t>
  </si>
  <si>
    <t>74% (0.001)</t>
  </si>
  <si>
    <t>0.85 [0.79-0.92]</t>
  </si>
  <si>
    <t>6,500,000 (person-years)</t>
  </si>
  <si>
    <t>25% (0.670)</t>
  </si>
  <si>
    <r>
      <t>Stroke Incidence</t>
    </r>
    <r>
      <rPr>
        <vertAlign val="superscript"/>
        <sz val="9"/>
        <color theme="1"/>
        <rFont val="Aptos Narrow"/>
        <family val="2"/>
      </rPr>
      <t>†</t>
    </r>
  </si>
  <si>
    <t>0.90 [0.85-0.95]</t>
  </si>
  <si>
    <t>4,500,000 (person-years)</t>
  </si>
  <si>
    <t>13% (0.019)</t>
  </si>
  <si>
    <r>
      <t>Dietary Fibre</t>
    </r>
    <r>
      <rPr>
        <vertAlign val="superscript"/>
        <sz val="9"/>
        <color theme="1"/>
        <rFont val="Aptos Narrow"/>
        <family val="2"/>
      </rPr>
      <t>†</t>
    </r>
  </si>
  <si>
    <r>
      <t>T2D Incidence</t>
    </r>
    <r>
      <rPr>
        <vertAlign val="superscript"/>
        <sz val="9"/>
        <color theme="1"/>
        <rFont val="Aptos Narrow"/>
        <family val="2"/>
      </rPr>
      <t>†</t>
    </r>
    <r>
      <rPr>
        <sz val="9"/>
        <color theme="1"/>
        <rFont val="Aptos Narrow"/>
        <family val="2"/>
      </rPr>
      <t> </t>
    </r>
  </si>
  <si>
    <t>0.85 [0.82-0.89]</t>
  </si>
  <si>
    <t>3,200,000 (person-years)</t>
  </si>
  <si>
    <t>32% (0.346)</t>
  </si>
  <si>
    <t>Mirrafiei et al.  2023 [46]</t>
  </si>
  <si>
    <t>Total Fibre</t>
  </si>
  <si>
    <t>10g/day</t>
  </si>
  <si>
    <r>
      <t>0.85 [0.81-0.88]</t>
    </r>
    <r>
      <rPr>
        <vertAlign val="superscript"/>
        <sz val="9"/>
        <color theme="1"/>
        <rFont val="Aptos Narrow"/>
        <family val="2"/>
      </rPr>
      <t>9</t>
    </r>
  </si>
  <si>
    <r>
      <t>1,451,903 (103,156)</t>
    </r>
    <r>
      <rPr>
        <vertAlign val="superscript"/>
        <sz val="9"/>
        <color theme="1"/>
        <rFont val="Aptos Narrow"/>
        <family val="2"/>
      </rPr>
      <t>8</t>
    </r>
  </si>
  <si>
    <r>
      <t>83% (&lt;0.001)</t>
    </r>
    <r>
      <rPr>
        <vertAlign val="superscript"/>
        <sz val="9"/>
        <color theme="1"/>
        <rFont val="Aptos Narrow"/>
        <family val="2"/>
      </rPr>
      <t>7</t>
    </r>
  </si>
  <si>
    <t>Mirrafiei et al. 2023 [46]</t>
  </si>
  <si>
    <r>
      <t>0.90 [0.84-0.96]</t>
    </r>
    <r>
      <rPr>
        <vertAlign val="superscript"/>
        <sz val="9"/>
        <color theme="1"/>
        <rFont val="Aptos Narrow"/>
        <family val="2"/>
      </rPr>
      <t>9</t>
    </r>
  </si>
  <si>
    <r>
      <t>1,044,471 (36,561)</t>
    </r>
    <r>
      <rPr>
        <vertAlign val="superscript"/>
        <sz val="9"/>
        <color theme="1"/>
        <rFont val="Aptos Narrow"/>
        <family val="2"/>
      </rPr>
      <t>8</t>
    </r>
  </si>
  <si>
    <r>
      <t>40% (0.12)</t>
    </r>
    <r>
      <rPr>
        <vertAlign val="superscript"/>
        <sz val="9"/>
        <color theme="1"/>
        <rFont val="Aptos Narrow"/>
        <family val="2"/>
      </rPr>
      <t>7</t>
    </r>
  </si>
  <si>
    <r>
      <t>0.80 [0.76-0.84]</t>
    </r>
    <r>
      <rPr>
        <vertAlign val="superscript"/>
        <sz val="9"/>
        <color theme="1"/>
        <rFont val="Aptos Narrow"/>
        <family val="2"/>
      </rPr>
      <t>9</t>
    </r>
  </si>
  <si>
    <r>
      <t>1,293,630 (28,324)</t>
    </r>
    <r>
      <rPr>
        <vertAlign val="superscript"/>
        <sz val="9"/>
        <color theme="1"/>
        <rFont val="Aptos Narrow"/>
        <family val="2"/>
      </rPr>
      <t>8</t>
    </r>
  </si>
  <si>
    <r>
      <t>45% (0.03)</t>
    </r>
    <r>
      <rPr>
        <vertAlign val="superscript"/>
        <sz val="9"/>
        <color theme="1"/>
        <rFont val="Aptos Narrow"/>
        <family val="2"/>
      </rPr>
      <t>7</t>
    </r>
  </si>
  <si>
    <t>Cereal Fibre</t>
  </si>
  <si>
    <t>5g/day</t>
  </si>
  <si>
    <r>
      <t>0.90 [0.86-0.93]</t>
    </r>
    <r>
      <rPr>
        <vertAlign val="superscript"/>
        <sz val="9"/>
        <color theme="1"/>
        <rFont val="Aptos Narrow"/>
        <family val="2"/>
      </rPr>
      <t>9</t>
    </r>
  </si>
  <si>
    <r>
      <t>1,103,701 (97,768)</t>
    </r>
    <r>
      <rPr>
        <vertAlign val="superscript"/>
        <sz val="9"/>
        <color theme="1"/>
        <rFont val="Aptos Narrow"/>
        <family val="2"/>
      </rPr>
      <t>8</t>
    </r>
  </si>
  <si>
    <r>
      <t>89% (&lt;0.001)</t>
    </r>
    <r>
      <rPr>
        <vertAlign val="superscript"/>
        <sz val="9"/>
        <color theme="1"/>
        <rFont val="Aptos Narrow"/>
        <family val="2"/>
      </rPr>
      <t>7</t>
    </r>
  </si>
  <si>
    <r>
      <t>0.90 [0.85-0.95]</t>
    </r>
    <r>
      <rPr>
        <vertAlign val="superscript"/>
        <sz val="9"/>
        <color theme="1"/>
        <rFont val="Aptos Narrow"/>
        <family val="2"/>
      </rPr>
      <t>9</t>
    </r>
  </si>
  <si>
    <t xml:space="preserve">963, 195 </t>
  </si>
  <si>
    <r>
      <t>80% (0.001)</t>
    </r>
    <r>
      <rPr>
        <vertAlign val="superscript"/>
        <sz val="9"/>
        <color theme="1"/>
        <rFont val="Aptos Narrow"/>
        <family val="2"/>
      </rPr>
      <t>7</t>
    </r>
  </si>
  <si>
    <r>
      <t>0.86 [0.79-0.93]</t>
    </r>
    <r>
      <rPr>
        <vertAlign val="superscript"/>
        <sz val="9"/>
        <color theme="1"/>
        <rFont val="Aptos Narrow"/>
        <family val="2"/>
      </rPr>
      <t>9</t>
    </r>
  </si>
  <si>
    <r>
      <t>72% (0.001)</t>
    </r>
    <r>
      <rPr>
        <vertAlign val="superscript"/>
        <sz val="9"/>
        <color theme="1"/>
        <rFont val="Aptos Narrow"/>
        <family val="2"/>
      </rPr>
      <t>7</t>
    </r>
  </si>
  <si>
    <t>Fruit Fibre</t>
  </si>
  <si>
    <r>
      <t>0.92 [0.80-1.06]</t>
    </r>
    <r>
      <rPr>
        <vertAlign val="superscript"/>
        <sz val="9"/>
        <color theme="1"/>
        <rFont val="Aptos Narrow"/>
        <family val="2"/>
      </rPr>
      <t>9</t>
    </r>
  </si>
  <si>
    <r>
      <t>674,094 (44,953)</t>
    </r>
    <r>
      <rPr>
        <vertAlign val="superscript"/>
        <sz val="9"/>
        <color theme="1"/>
        <rFont val="Aptos Narrow"/>
        <family val="2"/>
      </rPr>
      <t>8</t>
    </r>
  </si>
  <si>
    <r>
      <t>86% (&lt;0.001)</t>
    </r>
    <r>
      <rPr>
        <vertAlign val="superscript"/>
        <sz val="9"/>
        <color theme="1"/>
        <rFont val="Aptos Narrow"/>
        <family val="2"/>
      </rPr>
      <t>7</t>
    </r>
  </si>
  <si>
    <r>
      <t>1.00 [0.96-1.03]</t>
    </r>
    <r>
      <rPr>
        <vertAlign val="superscript"/>
        <sz val="9"/>
        <color theme="1"/>
        <rFont val="Aptos Narrow"/>
        <family val="2"/>
      </rPr>
      <t>9</t>
    </r>
  </si>
  <si>
    <t>545, 641</t>
  </si>
  <si>
    <r>
      <t>0.0% (0.713)</t>
    </r>
    <r>
      <rPr>
        <vertAlign val="superscript"/>
        <sz val="9"/>
        <color theme="1"/>
        <rFont val="Aptos Narrow"/>
        <family val="2"/>
      </rPr>
      <t>7</t>
    </r>
  </si>
  <si>
    <r>
      <t>0.69 [0.51-0.93]</t>
    </r>
    <r>
      <rPr>
        <vertAlign val="superscript"/>
        <sz val="9"/>
        <color theme="1"/>
        <rFont val="Aptos Narrow"/>
        <family val="2"/>
      </rPr>
      <t>9</t>
    </r>
  </si>
  <si>
    <r>
      <t>1,026,264 (19,767)</t>
    </r>
    <r>
      <rPr>
        <vertAlign val="superscript"/>
        <sz val="9"/>
        <color theme="1"/>
        <rFont val="Aptos Narrow"/>
        <family val="2"/>
      </rPr>
      <t>8</t>
    </r>
  </si>
  <si>
    <r>
      <t>90% (&lt;0.001)</t>
    </r>
    <r>
      <rPr>
        <vertAlign val="superscript"/>
        <sz val="9"/>
        <color theme="1"/>
        <rFont val="Aptos Narrow"/>
        <family val="2"/>
      </rPr>
      <t>7</t>
    </r>
  </si>
  <si>
    <t>Vegetable Fibre</t>
  </si>
  <si>
    <r>
      <t>0.90 [0.84-0.97]</t>
    </r>
    <r>
      <rPr>
        <vertAlign val="superscript"/>
        <sz val="9"/>
        <color theme="1"/>
        <rFont val="Aptos Narrow"/>
        <family val="2"/>
      </rPr>
      <t>9</t>
    </r>
  </si>
  <si>
    <r>
      <t>1,063,825 (77,325)</t>
    </r>
    <r>
      <rPr>
        <vertAlign val="superscript"/>
        <sz val="9"/>
        <color theme="1"/>
        <rFont val="Aptos Narrow"/>
        <family val="2"/>
      </rPr>
      <t>8</t>
    </r>
  </si>
  <si>
    <r>
      <t>82% (&lt;0.001)</t>
    </r>
    <r>
      <rPr>
        <vertAlign val="superscript"/>
        <sz val="9"/>
        <color theme="1"/>
        <rFont val="Aptos Narrow"/>
        <family val="2"/>
      </rPr>
      <t>7</t>
    </r>
  </si>
  <si>
    <r>
      <t>0.94 [0.91-0.98]</t>
    </r>
    <r>
      <rPr>
        <vertAlign val="superscript"/>
        <sz val="9"/>
        <color theme="1"/>
        <rFont val="Aptos Narrow"/>
        <family val="2"/>
      </rPr>
      <t>9</t>
    </r>
  </si>
  <si>
    <r>
      <t>933,763 (29,865)</t>
    </r>
    <r>
      <rPr>
        <vertAlign val="superscript"/>
        <sz val="9"/>
        <color theme="1"/>
        <rFont val="Aptos Narrow"/>
        <family val="2"/>
      </rPr>
      <t>8</t>
    </r>
  </si>
  <si>
    <r>
      <t>0% (0.835)</t>
    </r>
    <r>
      <rPr>
        <vertAlign val="superscript"/>
        <sz val="9"/>
        <color theme="1"/>
        <rFont val="Aptos Narrow"/>
        <family val="2"/>
      </rPr>
      <t>7</t>
    </r>
  </si>
  <si>
    <r>
      <t>0.92 [0.87-0.97]</t>
    </r>
    <r>
      <rPr>
        <vertAlign val="superscript"/>
        <sz val="9"/>
        <color theme="1"/>
        <rFont val="Aptos Narrow"/>
        <family val="2"/>
      </rPr>
      <t>9</t>
    </r>
  </si>
  <si>
    <r>
      <t>15.8% (0.312)</t>
    </r>
    <r>
      <rPr>
        <vertAlign val="superscript"/>
        <sz val="9"/>
        <color theme="1"/>
        <rFont val="Aptos Narrow"/>
        <family val="2"/>
      </rPr>
      <t>7</t>
    </r>
  </si>
  <si>
    <t>Legume Fibre</t>
  </si>
  <si>
    <r>
      <t>0.94 [0.83-1.06]</t>
    </r>
    <r>
      <rPr>
        <vertAlign val="superscript"/>
        <sz val="9"/>
        <color theme="1"/>
        <rFont val="Aptos Narrow"/>
        <family val="2"/>
      </rPr>
      <t>9</t>
    </r>
  </si>
  <si>
    <r>
      <t>221,377 (21,406)</t>
    </r>
    <r>
      <rPr>
        <vertAlign val="superscript"/>
        <sz val="9"/>
        <color theme="1"/>
        <rFont val="Aptos Narrow"/>
        <family val="2"/>
      </rPr>
      <t>8</t>
    </r>
  </si>
  <si>
    <r>
      <t>10% (0.374)</t>
    </r>
    <r>
      <rPr>
        <vertAlign val="superscript"/>
        <sz val="9"/>
        <color theme="1"/>
        <rFont val="Aptos Narrow"/>
        <family val="2"/>
      </rPr>
      <t>7</t>
    </r>
  </si>
  <si>
    <r>
      <t>0.77 [0.65-0.90]</t>
    </r>
    <r>
      <rPr>
        <vertAlign val="superscript"/>
        <sz val="9"/>
        <color theme="1"/>
        <rFont val="Aptos Narrow"/>
        <family val="2"/>
      </rPr>
      <t>9</t>
    </r>
  </si>
  <si>
    <r>
      <t>512, 802 (12,823)</t>
    </r>
    <r>
      <rPr>
        <vertAlign val="superscript"/>
        <sz val="9"/>
        <color theme="1"/>
        <rFont val="Aptos Narrow"/>
        <family val="2"/>
      </rPr>
      <t>8</t>
    </r>
  </si>
  <si>
    <r>
      <t>0% (0.475)</t>
    </r>
    <r>
      <rPr>
        <vertAlign val="superscript"/>
        <sz val="9"/>
        <color theme="1"/>
        <rFont val="Aptos Narrow"/>
        <family val="2"/>
      </rPr>
      <t>7</t>
    </r>
  </si>
  <si>
    <t>Soluble Fibre</t>
  </si>
  <si>
    <r>
      <t>0.77 [0.74-0.81]</t>
    </r>
    <r>
      <rPr>
        <vertAlign val="superscript"/>
        <sz val="9"/>
        <color theme="1"/>
        <rFont val="Aptos Narrow"/>
        <family val="2"/>
      </rPr>
      <t>9</t>
    </r>
  </si>
  <si>
    <r>
      <t>332,162 (43,690)</t>
    </r>
    <r>
      <rPr>
        <vertAlign val="superscript"/>
        <sz val="9"/>
        <color theme="1"/>
        <rFont val="Aptos Narrow"/>
        <family val="2"/>
      </rPr>
      <t>8</t>
    </r>
  </si>
  <si>
    <r>
      <t>88% (&lt;0.001)</t>
    </r>
    <r>
      <rPr>
        <vertAlign val="superscript"/>
        <sz val="9"/>
        <color theme="1"/>
        <rFont val="Aptos Narrow"/>
        <family val="2"/>
      </rPr>
      <t>7</t>
    </r>
  </si>
  <si>
    <r>
      <t>0.66 [0.45-0.95]</t>
    </r>
    <r>
      <rPr>
        <vertAlign val="superscript"/>
        <sz val="9"/>
        <color theme="1"/>
        <rFont val="Aptos Narrow"/>
        <family val="2"/>
      </rPr>
      <t>9</t>
    </r>
  </si>
  <si>
    <r>
      <t>176,408 (7,180)</t>
    </r>
    <r>
      <rPr>
        <vertAlign val="superscript"/>
        <sz val="9"/>
        <color theme="1"/>
        <rFont val="Aptos Narrow"/>
        <family val="2"/>
      </rPr>
      <t>8</t>
    </r>
  </si>
  <si>
    <r>
      <t>0% (0.817)</t>
    </r>
    <r>
      <rPr>
        <vertAlign val="superscript"/>
        <sz val="9"/>
        <color theme="1"/>
        <rFont val="Aptos Narrow"/>
        <family val="2"/>
      </rPr>
      <t>7</t>
    </r>
  </si>
  <si>
    <t>Insoluble Fibre</t>
  </si>
  <si>
    <r>
      <t>0.84 [0.81-0.89]</t>
    </r>
    <r>
      <rPr>
        <vertAlign val="superscript"/>
        <sz val="9"/>
        <color theme="1"/>
        <rFont val="Aptos Narrow"/>
        <family val="2"/>
      </rPr>
      <t>9</t>
    </r>
  </si>
  <si>
    <r>
      <t>322,386 (41,058)</t>
    </r>
    <r>
      <rPr>
        <vertAlign val="superscript"/>
        <sz val="9"/>
        <color theme="1"/>
        <rFont val="Aptos Narrow"/>
        <family val="2"/>
      </rPr>
      <t>8</t>
    </r>
  </si>
  <si>
    <r>
      <t>67% (0.017)</t>
    </r>
    <r>
      <rPr>
        <vertAlign val="superscript"/>
        <sz val="9"/>
        <color theme="1"/>
        <rFont val="Aptos Narrow"/>
        <family val="2"/>
      </rPr>
      <t>7</t>
    </r>
  </si>
  <si>
    <r>
      <t>0.84 [0.83-0.86]</t>
    </r>
    <r>
      <rPr>
        <vertAlign val="superscript"/>
        <sz val="9"/>
        <color theme="1"/>
        <rFont val="Aptos Narrow"/>
        <family val="2"/>
      </rPr>
      <t>9</t>
    </r>
  </si>
  <si>
    <r>
      <t>176, 408 (7,180)</t>
    </r>
    <r>
      <rPr>
        <vertAlign val="superscript"/>
        <sz val="9"/>
        <color theme="1"/>
        <rFont val="Aptos Narrow"/>
        <family val="2"/>
      </rPr>
      <t>8</t>
    </r>
  </si>
  <si>
    <r>
      <t>0% (0.790)</t>
    </r>
    <r>
      <rPr>
        <vertAlign val="superscript"/>
        <sz val="9"/>
        <color theme="1"/>
        <rFont val="Aptos Narrow"/>
        <family val="2"/>
      </rPr>
      <t>7</t>
    </r>
  </si>
  <si>
    <t>WCRF 2018 [47]</t>
  </si>
  <si>
    <t>Salt- Preserved Vegetables</t>
  </si>
  <si>
    <t>Stomach Cancer</t>
  </si>
  <si>
    <t>20g/day</t>
  </si>
  <si>
    <t>1.09 [1.05-1.13]</t>
  </si>
  <si>
    <t>0.0% (0.436)</t>
  </si>
  <si>
    <t>Linear - no non-linear assessment</t>
  </si>
  <si>
    <t>Stanaway et al. 2022 [48]</t>
  </si>
  <si>
    <t>Non-Starchy Vegetables</t>
  </si>
  <si>
    <t>Hemorrhagic Stroke</t>
  </si>
  <si>
    <t>100g/day</t>
  </si>
  <si>
    <t>0-100g/day</t>
  </si>
  <si>
    <t>0.84 [0.72-0.98]</t>
  </si>
  <si>
    <t>646,338 (-)</t>
  </si>
  <si>
    <t>Included in risk function</t>
  </si>
  <si>
    <r>
      <t>Two Stars</t>
    </r>
    <r>
      <rPr>
        <vertAlign val="superscript"/>
        <sz val="9"/>
        <color theme="1"/>
        <rFont val="Aptos Narrow"/>
        <family val="2"/>
      </rPr>
      <t>D</t>
    </r>
  </si>
  <si>
    <t>Non-Linear</t>
  </si>
  <si>
    <t>Ischaemic Stroke</t>
  </si>
  <si>
    <t>0.80 [0.75-0.86]</t>
  </si>
  <si>
    <t>829,610 (-)</t>
  </si>
  <si>
    <r>
      <t>Three Stars</t>
    </r>
    <r>
      <rPr>
        <vertAlign val="superscript"/>
        <sz val="9"/>
        <color theme="1"/>
        <rFont val="Aptos Narrow"/>
        <family val="2"/>
      </rPr>
      <t>D</t>
    </r>
  </si>
  <si>
    <t>IHD</t>
  </si>
  <si>
    <t>0.81 [0.74-0.88]</t>
  </si>
  <si>
    <t>1,952,226 (41,494)</t>
  </si>
  <si>
    <t>Oesophageal Cancer</t>
  </si>
  <si>
    <t>0.91 [0.84-1.01]</t>
  </si>
  <si>
    <t>818,059 (-)</t>
  </si>
  <si>
    <t>Vegetables</t>
  </si>
  <si>
    <t>0-545g/day</t>
  </si>
  <si>
    <t>0.98 [0.96-1.00]</t>
  </si>
  <si>
    <t>46% (-)</t>
  </si>
  <si>
    <t>Linear - no evidence of significant non-linearity</t>
  </si>
  <si>
    <t>0.92 [0.85-0.99]</t>
  </si>
  <si>
    <r>
      <t>1,504,100 (3,842)</t>
    </r>
    <r>
      <rPr>
        <vertAlign val="superscript"/>
        <sz val="9"/>
        <color theme="1"/>
        <rFont val="Aptos Narrow"/>
        <family val="2"/>
      </rPr>
      <t>8</t>
    </r>
  </si>
  <si>
    <t>Breast Cancer (estrogen receptor-negative)</t>
  </si>
  <si>
    <t>200g/day</t>
  </si>
  <si>
    <t>0.79 [0.63-0.98]</t>
  </si>
  <si>
    <t>37% (0.205)</t>
  </si>
  <si>
    <t>CRC</t>
  </si>
  <si>
    <t>100g/day vs 200g/day</t>
  </si>
  <si>
    <t>0% (-)</t>
  </si>
  <si>
    <t>Lung Cancer (Previous Smokers)</t>
  </si>
  <si>
    <t>0.97 [0.91-1.05]</t>
  </si>
  <si>
    <t>25% (0.263)</t>
  </si>
  <si>
    <t>Lung Cancer (Smokers)</t>
  </si>
  <si>
    <t>0.88 [0.79-0.99]</t>
  </si>
  <si>
    <t>81% (&lt;0.001)</t>
  </si>
  <si>
    <t>Oesophageal Cancer (adenocarcinoma)</t>
  </si>
  <si>
    <t>0.89 [0.80-0.99]</t>
  </si>
  <si>
    <t>0.02% (0.671)</t>
  </si>
  <si>
    <t>0.91 [0.81-1.03]</t>
  </si>
  <si>
    <t>49% (0.116)</t>
  </si>
  <si>
    <r>
      <t>Limited – Suggestive</t>
    </r>
    <r>
      <rPr>
        <vertAlign val="superscript"/>
        <sz val="9"/>
        <color theme="1"/>
        <rFont val="Aptos Narrow"/>
        <family val="2"/>
      </rPr>
      <t>c</t>
    </r>
  </si>
  <si>
    <t>Non-Starchy Vegetables and Fruits</t>
  </si>
  <si>
    <t>80g/day</t>
  </si>
  <si>
    <t>0% (0.764)</t>
  </si>
  <si>
    <t>Madsen et al. 2023 [49]</t>
  </si>
  <si>
    <t>Fruits and Vegetables Combined</t>
  </si>
  <si>
    <t>Hypertension</t>
  </si>
  <si>
    <t>80-640g/day</t>
  </si>
  <si>
    <t>308,893 (94,871)</t>
  </si>
  <si>
    <t>68% (0.004)</t>
  </si>
  <si>
    <t>Fruit</t>
  </si>
  <si>
    <t>0.96 [0.93-1.00]</t>
  </si>
  <si>
    <t>68% (-)</t>
  </si>
  <si>
    <r>
      <t>Fruit</t>
    </r>
    <r>
      <rPr>
        <vertAlign val="superscript"/>
        <sz val="9"/>
        <color theme="1"/>
        <rFont val="Aptos Narrow"/>
        <family val="2"/>
      </rPr>
      <t>†</t>
    </r>
  </si>
  <si>
    <t>0.91 [0.85-0.98]</t>
  </si>
  <si>
    <t>57% (0.018)</t>
  </si>
  <si>
    <t>0.97 [0.92-1.02]</t>
  </si>
  <si>
    <t>0% (0.685)</t>
  </si>
  <si>
    <t>0.84 [0.75-0.94]</t>
  </si>
  <si>
    <t>0% (0.582)</t>
  </si>
  <si>
    <t>0.98 [0.94-1.02]</t>
  </si>
  <si>
    <t>8% (-)</t>
  </si>
  <si>
    <t>Fruits</t>
  </si>
  <si>
    <t>80-548g/day</t>
  </si>
  <si>
    <t>315,742 (131,281)</t>
  </si>
  <si>
    <t>0.98 [0.95-1.01]</t>
  </si>
  <si>
    <t>29-400g/day</t>
  </si>
  <si>
    <t>0.89 [0.83-0.97]</t>
  </si>
  <si>
    <t xml:space="preserve">Cohort, Case Cohorts, and Nested Case-Control Studies </t>
  </si>
  <si>
    <t>9% (-)</t>
  </si>
  <si>
    <t>Citrus Fruit</t>
  </si>
  <si>
    <t>Stomach Cancer (cardia)</t>
  </si>
  <si>
    <t>0.76 [0.58-0.99]</t>
  </si>
  <si>
    <t>53% (0.120)</t>
  </si>
  <si>
    <t>Fruit Juice</t>
  </si>
  <si>
    <t>Overall Cancer</t>
  </si>
  <si>
    <t>1.31 [1.04-1.65]</t>
  </si>
  <si>
    <t>71% (-)</t>
  </si>
  <si>
    <t>Legumes</t>
  </si>
  <si>
    <t>14-160g/day</t>
  </si>
  <si>
    <t>0.80 [0.60-1.06]</t>
  </si>
  <si>
    <t>15% (-)</t>
  </si>
  <si>
    <t>10-43g/day</t>
  </si>
  <si>
    <t>1.15 [0.49-2.67]</t>
  </si>
  <si>
    <t>1% (-)</t>
  </si>
  <si>
    <t>Arnesen et al. 2023 [15]</t>
  </si>
  <si>
    <t>Nuts and Seeds</t>
  </si>
  <si>
    <t>CVD</t>
  </si>
  <si>
    <t>30g/day</t>
  </si>
  <si>
    <t>0-30g/day</t>
  </si>
  <si>
    <t>0.82 [0.76-0.90]</t>
  </si>
  <si>
    <r>
      <t>- (61,391)</t>
    </r>
    <r>
      <rPr>
        <vertAlign val="superscript"/>
        <sz val="9"/>
        <color theme="1"/>
        <rFont val="Aptos Narrow"/>
        <family val="2"/>
      </rPr>
      <t>8</t>
    </r>
  </si>
  <si>
    <r>
      <t>67% (-)</t>
    </r>
    <r>
      <rPr>
        <vertAlign val="superscript"/>
        <sz val="9"/>
        <color theme="1"/>
        <rFont val="Aptos Narrow"/>
        <family val="2"/>
      </rPr>
      <t>7</t>
    </r>
  </si>
  <si>
    <t>High</t>
  </si>
  <si>
    <r>
      <t>IHD</t>
    </r>
    <r>
      <rPr>
        <vertAlign val="superscript"/>
        <sz val="9"/>
        <color theme="1"/>
        <rFont val="Aptos Narrow"/>
        <family val="2"/>
      </rPr>
      <t>†</t>
    </r>
  </si>
  <si>
    <t>0.79 [0.70-0.89]</t>
  </si>
  <si>
    <r>
      <t>64% (-)</t>
    </r>
    <r>
      <rPr>
        <vertAlign val="superscript"/>
        <sz val="9"/>
        <color theme="1"/>
        <rFont val="Aptos Narrow"/>
        <family val="2"/>
      </rPr>
      <t>7</t>
    </r>
  </si>
  <si>
    <t>Stroke</t>
  </si>
  <si>
    <t>0.99 [0.91-1.08]</t>
  </si>
  <si>
    <r>
      <t>25% (-)</t>
    </r>
    <r>
      <rPr>
        <vertAlign val="superscript"/>
        <sz val="9"/>
        <color theme="1"/>
        <rFont val="Aptos Narrow"/>
        <family val="2"/>
      </rPr>
      <t>7</t>
    </r>
  </si>
  <si>
    <r>
      <t>Limited – Suggestive</t>
    </r>
    <r>
      <rPr>
        <vertAlign val="superscript"/>
        <sz val="9"/>
        <color theme="1"/>
        <rFont val="Aptos Narrow"/>
        <family val="2"/>
      </rPr>
      <t>C</t>
    </r>
  </si>
  <si>
    <t>WCRF 2018 [50]</t>
  </si>
  <si>
    <t>Fish</t>
  </si>
  <si>
    <t>53% (-)</t>
  </si>
  <si>
    <t>0.94 [0.89-0.99]</t>
  </si>
  <si>
    <t>Talebi et al. 2023 [51]</t>
  </si>
  <si>
    <t>0.60 [0.31-1.15]</t>
  </si>
  <si>
    <t>28% (0.24)</t>
  </si>
  <si>
    <t>Cognitive Impairment</t>
  </si>
  <si>
    <t>0.84 [0.68-1.04]</t>
  </si>
  <si>
    <t>0% (0.48)</t>
  </si>
  <si>
    <t>0.72 [0.54-0.97]</t>
  </si>
  <si>
    <t>31% (0.21)</t>
  </si>
  <si>
    <r>
      <t>High</t>
    </r>
    <r>
      <rPr>
        <vertAlign val="superscript"/>
        <sz val="9"/>
        <color theme="1"/>
        <rFont val="Aptos Narrow"/>
        <family val="2"/>
      </rPr>
      <t>A</t>
    </r>
  </si>
  <si>
    <t>Parkinson’s Disease</t>
  </si>
  <si>
    <t>0.67 [0.34-1.30]</t>
  </si>
  <si>
    <t>0% (0.76)</t>
  </si>
  <si>
    <t>Talebi et al. 2023 [52]</t>
  </si>
  <si>
    <t>Inflammatory Bowel Disease</t>
  </si>
  <si>
    <t>0.99 [0.88-1.11]</t>
  </si>
  <si>
    <t>50% (0.093)</t>
  </si>
  <si>
    <t>0.88 [0.70-1.11]</t>
  </si>
  <si>
    <t>1.37 [0.96-1.78]</t>
  </si>
  <si>
    <t>11% (-)</t>
  </si>
  <si>
    <t>Lescinsky et al. 2022 [5]</t>
  </si>
  <si>
    <t>Red Meat</t>
  </si>
  <si>
    <t>50g/day</t>
  </si>
  <si>
    <t>0-50g/day</t>
  </si>
  <si>
    <t>1.26 [0.98-1.56]</t>
  </si>
  <si>
    <t>999,428 (25,732)</t>
  </si>
  <si>
    <t>1.30 [1.01-1.64]</t>
  </si>
  <si>
    <t>2,413,032 (16,202)</t>
  </si>
  <si>
    <t>Prospective Cohort Studies, Nested Case-Control</t>
  </si>
  <si>
    <t>1.09 [0.99-1.18]</t>
  </si>
  <si>
    <t>1,219,288 (33,490)</t>
  </si>
  <si>
    <t>T2D</t>
  </si>
  <si>
    <t>1.14 [0.97-1.32]</t>
  </si>
  <si>
    <t>1,619,574 (62,081)</t>
  </si>
  <si>
    <t>0-111g/day</t>
  </si>
  <si>
    <t>1.09 [0.94-1.27]</t>
  </si>
  <si>
    <t>14% (-)</t>
  </si>
  <si>
    <t>0-43g/day</t>
  </si>
  <si>
    <t>1.41 [1.03-2.10]</t>
  </si>
  <si>
    <t>6% (-)</t>
  </si>
  <si>
    <t>Lung Cancer</t>
  </si>
  <si>
    <t>1.22 [1.02-1.46]</t>
  </si>
  <si>
    <t>66% (-)</t>
  </si>
  <si>
    <t>1.19 [0.98-1.45]</t>
  </si>
  <si>
    <t>52% (-)</t>
  </si>
  <si>
    <t>Linear – no assessment</t>
  </si>
  <si>
    <t>1.05 [0.84-1.32]</t>
  </si>
  <si>
    <t>0% (0.45)</t>
  </si>
  <si>
    <t>1.34 [0.96-1.86]</t>
  </si>
  <si>
    <t>33% (0.223)</t>
  </si>
  <si>
    <t>Talebi et al. 2023 [53]</t>
  </si>
  <si>
    <t>Gestational Diabetes (Pregnant Women)</t>
  </si>
  <si>
    <t>1.94 [1.41-2.67]</t>
  </si>
  <si>
    <t>20,821 (1,403)</t>
  </si>
  <si>
    <t>57% (-)</t>
  </si>
  <si>
    <t>Processed Meat</t>
  </si>
  <si>
    <t>0-21g/day</t>
  </si>
  <si>
    <t>1.20 [0.83-1.76]</t>
  </si>
  <si>
    <t>16% (-)</t>
  </si>
  <si>
    <t>0-13g/day</t>
  </si>
  <si>
    <t>1.17 [0.83-1.66]</t>
  </si>
  <si>
    <r>
      <t>1,083,590 (2,555)</t>
    </r>
    <r>
      <rPr>
        <vertAlign val="superscript"/>
        <sz val="9"/>
        <color theme="1"/>
        <rFont val="Aptos Narrow"/>
        <family val="2"/>
      </rPr>
      <t>8</t>
    </r>
  </si>
  <si>
    <t>3% (-)</t>
  </si>
  <si>
    <r>
      <t>CRC</t>
    </r>
    <r>
      <rPr>
        <vertAlign val="superscript"/>
        <sz val="9"/>
        <color theme="1"/>
        <rFont val="Aptos Narrow"/>
        <family val="2"/>
      </rPr>
      <t>†</t>
    </r>
  </si>
  <si>
    <t>1.16 [1.08-1.26]</t>
  </si>
  <si>
    <t>20% (0.258)</t>
  </si>
  <si>
    <r>
      <t>Convincing</t>
    </r>
    <r>
      <rPr>
        <vertAlign val="superscript"/>
        <sz val="9"/>
        <color theme="1"/>
        <rFont val="Aptos Narrow"/>
        <family val="2"/>
      </rPr>
      <t>C</t>
    </r>
  </si>
  <si>
    <t>1.14 [1.05-1.24]</t>
  </si>
  <si>
    <t xml:space="preserve">Unclear </t>
  </si>
  <si>
    <t>1.34 [1.00-1.81]</t>
  </si>
  <si>
    <t>1.17 [1.01-1.34]</t>
  </si>
  <si>
    <t>Stomach Cancer (non-cardia)</t>
  </si>
  <si>
    <t>1.18 [1.01-1.38]</t>
  </si>
  <si>
    <t>1.50 [1.16-1.94]</t>
  </si>
  <si>
    <t>20,325 (1,133)</t>
  </si>
  <si>
    <t>20% (-)</t>
  </si>
  <si>
    <t>Total Meat</t>
  </si>
  <si>
    <t>1.00 [0.81-1.25]</t>
  </si>
  <si>
    <t>6% (0.34)</t>
  </si>
  <si>
    <t>0.95 [0.73-1.24]</t>
  </si>
  <si>
    <t>50% (0.15)</t>
  </si>
  <si>
    <t>1.38 [1.13-1.68]</t>
  </si>
  <si>
    <t>535,738 (1,214)</t>
  </si>
  <si>
    <t>0% (0.714)</t>
  </si>
  <si>
    <t>1.68 [1.25-2.24]</t>
  </si>
  <si>
    <t>6,101 (209)</t>
  </si>
  <si>
    <t>Poultry</t>
  </si>
  <si>
    <t>0.92 [0.75-1.14]</t>
  </si>
  <si>
    <t>0% (0.88)</t>
  </si>
  <si>
    <t>0.97 [0.82-1.14]</t>
  </si>
  <si>
    <t>19,044 (1,090)</t>
  </si>
  <si>
    <t xml:space="preserve">Linear – no evidence of non-linearity </t>
  </si>
  <si>
    <t>Dairy Products</t>
  </si>
  <si>
    <t>Breast Cancer (premenopause)</t>
  </si>
  <si>
    <t>0.95 [0.92-0.99]</t>
  </si>
  <si>
    <t>400g/day</t>
  </si>
  <si>
    <t>0.87 [0.83-0.90]</t>
  </si>
  <si>
    <t>Total Dairy</t>
  </si>
  <si>
    <t>0.88 [0.80-0.97]</t>
  </si>
  <si>
    <t>0% (0.50)</t>
  </si>
  <si>
    <t>0.72 [0.50-1.04]</t>
  </si>
  <si>
    <t>1.11 [1.02-1.20]</t>
  </si>
  <si>
    <t>Dairy</t>
  </si>
  <si>
    <t>0.97 [0.92-1.01]</t>
  </si>
  <si>
    <t>0% (0.627)</t>
  </si>
  <si>
    <t>10-400g/day</t>
  </si>
  <si>
    <t>0.96 [0.91-1.01]</t>
  </si>
  <si>
    <t>29% (-)</t>
  </si>
  <si>
    <t>0-640g/day</t>
  </si>
  <si>
    <t>0.87 [0.73-1.03]</t>
  </si>
  <si>
    <r>
      <t>1,067,115 (884)</t>
    </r>
    <r>
      <rPr>
        <vertAlign val="superscript"/>
        <sz val="9"/>
        <color theme="1"/>
        <rFont val="Aptos Narrow"/>
        <family val="2"/>
      </rPr>
      <t>8</t>
    </r>
  </si>
  <si>
    <t>4% (-)</t>
  </si>
  <si>
    <t>Milk</t>
  </si>
  <si>
    <t>1.22 [0.98-1.52]</t>
  </si>
  <si>
    <t>93% (0.00)</t>
  </si>
  <si>
    <t>Yogurt</t>
  </si>
  <si>
    <t>1.00 [0.96-1.05]</t>
  </si>
  <si>
    <t>39% (0.16)</t>
  </si>
  <si>
    <t>Cheese</t>
  </si>
  <si>
    <t>1.11 [0.85-1.45]</t>
  </si>
  <si>
    <t>42% (0.17)</t>
  </si>
  <si>
    <t>Eggs</t>
  </si>
  <si>
    <t>0-107g/day</t>
  </si>
  <si>
    <t>0.73 [0.62-0.87]</t>
  </si>
  <si>
    <t>2% (-)</t>
  </si>
  <si>
    <t>0.99 [0.65-1.52]</t>
  </si>
  <si>
    <t>0% (0.912)</t>
  </si>
  <si>
    <t>Ke et al. 2024 [54]</t>
  </si>
  <si>
    <t>Olive Oil</t>
  </si>
  <si>
    <t>0.92 [0.90-0.94]</t>
  </si>
  <si>
    <r>
      <t>687,212 (170,596)</t>
    </r>
    <r>
      <rPr>
        <vertAlign val="superscript"/>
        <sz val="9"/>
        <color theme="1"/>
        <rFont val="Aptos Narrow"/>
        <family val="2"/>
      </rPr>
      <t>8</t>
    </r>
  </si>
  <si>
    <t>36% (0.129)</t>
  </si>
  <si>
    <t>Linear – non-linear curve not extractable</t>
  </si>
  <si>
    <t>Cancer Incidence</t>
  </si>
  <si>
    <t>0.99 [0.97-1.01]</t>
  </si>
  <si>
    <r>
      <t>1,334,354 (14,232)</t>
    </r>
    <r>
      <rPr>
        <vertAlign val="superscript"/>
        <sz val="9"/>
        <color theme="1"/>
        <rFont val="Aptos Narrow"/>
        <family val="2"/>
      </rPr>
      <t>8</t>
    </r>
  </si>
  <si>
    <t>16% (0.308)</t>
  </si>
  <si>
    <t>0.96 [0.91-1.00]</t>
  </si>
  <si>
    <r>
      <t xml:space="preserve"> 674,834 (56,569)</t>
    </r>
    <r>
      <rPr>
        <vertAlign val="superscript"/>
        <sz val="9"/>
        <color theme="1"/>
        <rFont val="Aptos Narrow"/>
        <family val="2"/>
      </rPr>
      <t>8</t>
    </r>
  </si>
  <si>
    <t>53% (0.046)</t>
  </si>
  <si>
    <t>0.93 [0.88-0.98]</t>
  </si>
  <si>
    <r>
      <t>181,454 (12,778)</t>
    </r>
    <r>
      <rPr>
        <vertAlign val="superscript"/>
        <sz val="9"/>
        <color theme="1"/>
        <rFont val="Aptos Narrow"/>
        <family val="2"/>
      </rPr>
      <t>8</t>
    </r>
  </si>
  <si>
    <t>74% (0.002)</t>
  </si>
  <si>
    <r>
      <t>698,738 (48,519)</t>
    </r>
    <r>
      <rPr>
        <vertAlign val="superscript"/>
        <sz val="9"/>
        <color theme="1"/>
        <rFont val="Aptos Narrow"/>
        <family val="2"/>
      </rPr>
      <t>8</t>
    </r>
  </si>
  <si>
    <t>65% (0.006)</t>
  </si>
  <si>
    <t>IHD Incidence</t>
  </si>
  <si>
    <t>0.94 [0.87-1.01]</t>
  </si>
  <si>
    <r>
      <t>185,989 (7,488)</t>
    </r>
    <r>
      <rPr>
        <vertAlign val="superscript"/>
        <sz val="9"/>
        <color theme="1"/>
        <rFont val="Aptos Narrow"/>
        <family val="2"/>
      </rPr>
      <t>8</t>
    </r>
  </si>
  <si>
    <t>79% (0.001)</t>
  </si>
  <si>
    <t>Stroke Incidence</t>
  </si>
  <si>
    <t>0.95 [0.92-0.98]</t>
  </si>
  <si>
    <r>
      <t>155,972 (5,135)</t>
    </r>
    <r>
      <rPr>
        <vertAlign val="superscript"/>
        <sz val="9"/>
        <color theme="1"/>
        <rFont val="Aptos Narrow"/>
        <family val="2"/>
      </rPr>
      <t>8</t>
    </r>
  </si>
  <si>
    <t>24% (0.265)</t>
  </si>
  <si>
    <t>WCRF 2018 [55]</t>
  </si>
  <si>
    <t>Alcohol</t>
  </si>
  <si>
    <t>Breast Cancer (pre-menopause)</t>
  </si>
  <si>
    <t>10g ethanol/day</t>
  </si>
  <si>
    <t>1.05 [1.02-1.08]</t>
  </si>
  <si>
    <t>0% (0.739)</t>
  </si>
  <si>
    <t>Breast Cancer (post-menopause)</t>
  </si>
  <si>
    <t>1.09 [1.07-1.12]</t>
  </si>
  <si>
    <t>1.07 [1.05-1.08]</t>
  </si>
  <si>
    <t>28% (0.172)</t>
  </si>
  <si>
    <r>
      <t>Kidney Cancer</t>
    </r>
    <r>
      <rPr>
        <vertAlign val="superscript"/>
        <sz val="9"/>
        <color theme="1"/>
        <rFont val="Aptos Narrow"/>
        <family val="2"/>
      </rPr>
      <t>7</t>
    </r>
  </si>
  <si>
    <t>0.92 [0.86-0.97]</t>
  </si>
  <si>
    <t>55% (0.038)</t>
  </si>
  <si>
    <t>Laryngeal Cancer</t>
  </si>
  <si>
    <t>33% (0.151)</t>
  </si>
  <si>
    <t>1.04 [1.02-1.06]</t>
  </si>
  <si>
    <t>64% (0.001)</t>
  </si>
  <si>
    <t>1.03 [1.01-1.05]</t>
  </si>
  <si>
    <t>67% (-)</t>
  </si>
  <si>
    <t>Oesophagus Cancer (squamous cell carcinoma)</t>
  </si>
  <si>
    <t>1.25 [1.12-1.41]</t>
  </si>
  <si>
    <t>95% (&lt;0.001)</t>
  </si>
  <si>
    <t>Oral and Pharyngeal Cancer Combined</t>
  </si>
  <si>
    <t>1.19 [1.10-1.30]</t>
  </si>
  <si>
    <t>83% (&lt;0.001)</t>
  </si>
  <si>
    <t>Oral Cavity Cancer</t>
  </si>
  <si>
    <t>1.15 [1.09-1.22]</t>
  </si>
  <si>
    <t>88% (&lt;0.001)</t>
  </si>
  <si>
    <r>
      <t>Limited - suggestive</t>
    </r>
    <r>
      <rPr>
        <vertAlign val="superscript"/>
        <sz val="9"/>
        <color theme="1"/>
        <rFont val="Aptos Narrow"/>
        <family val="2"/>
      </rPr>
      <t>C</t>
    </r>
  </si>
  <si>
    <t>Pharyngeal Cancer</t>
  </si>
  <si>
    <t>1.13 [1.05-1.21]</t>
  </si>
  <si>
    <t>61% (0.027)</t>
  </si>
  <si>
    <t>Skin Cancer (basal cell carcinoma)</t>
  </si>
  <si>
    <t>1.04 [0.99-1.10]</t>
  </si>
  <si>
    <t>Skin Cancer (malignant melanoma)</t>
  </si>
  <si>
    <t>1.08 [1.03-1.13]</t>
  </si>
  <si>
    <t>1.02 [1.00-1.04]</t>
  </si>
  <si>
    <t>39% (0.032)</t>
  </si>
  <si>
    <t>Upper Aerodigestive Tract Cancer</t>
  </si>
  <si>
    <t>1.18 [1.10-1.26]</t>
  </si>
  <si>
    <t>12g/day</t>
  </si>
  <si>
    <t>0-42g/day</t>
  </si>
  <si>
    <t>1.01 [0.97-1.05]</t>
  </si>
  <si>
    <t>39% (-)</t>
  </si>
  <si>
    <r>
      <t>Renal Cell Carcinoma</t>
    </r>
    <r>
      <rPr>
        <vertAlign val="superscript"/>
        <sz val="9"/>
        <color theme="1"/>
        <rFont val="Aptos Narrow"/>
        <family val="2"/>
      </rPr>
      <t>10</t>
    </r>
  </si>
  <si>
    <t>0.91 [0.88-0.94]</t>
  </si>
  <si>
    <r>
      <t>2,373,583 (6,398)</t>
    </r>
    <r>
      <rPr>
        <vertAlign val="superscript"/>
        <sz val="9"/>
        <color theme="1"/>
        <rFont val="Aptos Narrow"/>
        <family val="2"/>
      </rPr>
      <t>8</t>
    </r>
  </si>
  <si>
    <t>36% (-)</t>
  </si>
  <si>
    <r>
      <t>High</t>
    </r>
    <r>
      <rPr>
        <vertAlign val="superscript"/>
        <sz val="9"/>
        <color rgb="FF000000"/>
        <rFont val="Aptos Narrow"/>
        <family val="2"/>
      </rPr>
      <t>B</t>
    </r>
  </si>
  <si>
    <t>Additional Increment</t>
  </si>
  <si>
    <t>Observable Range</t>
  </si>
  <si>
    <t>RR [95% CI]</t>
  </si>
  <si>
    <t>Grade</t>
  </si>
  <si>
    <t>AMSTAR-2 Rating</t>
  </si>
  <si>
    <t>0-1,598mL/day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</si>
</sst>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</font>
    <font>
      <b/>
      <sz val="9"/>
      <color rgb="FF000000"/>
      <name val="Aptos Narrow"/>
      <family val="2"/>
    </font>
    <font>
      <b/>
      <vertAlign val="superscript"/>
      <sz val="9"/>
      <color theme="1"/>
      <name val="Aptos Narrow"/>
      <family val="2"/>
    </font>
    <font>
      <b/>
      <vertAlign val="subscript"/>
      <sz val="9"/>
      <color theme="1"/>
      <name val="Aptos Narrow"/>
      <family val="2"/>
    </font>
    <font>
      <sz val="9"/>
      <color theme="1"/>
      <name val="Aptos Narrow"/>
      <family val="2"/>
    </font>
    <font>
      <sz val="9"/>
      <color rgb="FF000000"/>
      <name val="Aptos Narrow"/>
      <family val="2"/>
    </font>
    <font>
      <vertAlign val="superscript"/>
      <sz val="9"/>
      <color rgb="FF000000"/>
      <name val="Aptos Narrow"/>
      <family val="2"/>
    </font>
    <font>
      <vertAlign val="superscript"/>
      <sz val="9"/>
      <color theme="1"/>
      <name val="Aptos Narrow"/>
      <family val="2"/>
    </font>
    <font>
      <i/>
      <sz val="9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6" fillId="0" borderId="3" xfId="0" applyFont="1" applyBorder="1" applyAlignment="1">
      <alignment vertical="center" wrapText="1"/>
    </xf>
    <xf numFmtId="9" fontId="5" fillId="0" borderId="0" xfId="0" applyNumberFormat="1" applyFont="1" applyAlignment="1">
      <alignment vertical="center" wrapText="1"/>
    </xf>
    <xf numFmtId="0" fontId="5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64B1-B9DE-43B0-9ED8-011FE3574973}">
  <dimension ref="A1:N160"/>
  <sheetViews>
    <sheetView tabSelected="1" workbookViewId="0">
      <selection activeCell="E4" sqref="E4"/>
    </sheetView>
  </sheetViews>
  <sheetFormatPr defaultRowHeight="15" x14ac:dyDescent="0.25"/>
  <sheetData>
    <row r="1" spans="1:14" ht="41.25" thickBot="1" x14ac:dyDescent="0.3">
      <c r="A1" s="1" t="s">
        <v>0</v>
      </c>
      <c r="B1" s="2" t="s">
        <v>1</v>
      </c>
      <c r="C1" s="1" t="s">
        <v>2</v>
      </c>
      <c r="D1" s="1" t="s">
        <v>561</v>
      </c>
      <c r="E1" s="3" t="s">
        <v>562</v>
      </c>
      <c r="F1" s="1" t="s">
        <v>563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564</v>
      </c>
      <c r="L1" s="1" t="s">
        <v>7</v>
      </c>
      <c r="M1" s="4" t="s">
        <v>8</v>
      </c>
      <c r="N1" s="5" t="s">
        <v>565</v>
      </c>
    </row>
    <row r="2" spans="1:14" ht="36" x14ac:dyDescent="0.25">
      <c r="A2" s="6" t="s">
        <v>9</v>
      </c>
      <c r="B2" s="6" t="s">
        <v>10</v>
      </c>
      <c r="C2" s="6" t="s">
        <v>11</v>
      </c>
      <c r="D2" s="6" t="s">
        <v>12</v>
      </c>
      <c r="E2" s="6" t="s">
        <v>566</v>
      </c>
      <c r="F2" s="6" t="s">
        <v>13</v>
      </c>
      <c r="G2" s="7">
        <v>7</v>
      </c>
      <c r="H2" s="7" t="s">
        <v>14</v>
      </c>
      <c r="I2" s="7" t="s">
        <v>15</v>
      </c>
      <c r="J2" s="7" t="s">
        <v>16</v>
      </c>
      <c r="K2" s="7" t="s">
        <v>17</v>
      </c>
      <c r="L2" s="6" t="s">
        <v>18</v>
      </c>
      <c r="M2" s="8" t="s">
        <v>19</v>
      </c>
      <c r="N2" s="7" t="s">
        <v>20</v>
      </c>
    </row>
    <row r="3" spans="1:14" ht="48" x14ac:dyDescent="0.25">
      <c r="A3" s="6" t="s">
        <v>9</v>
      </c>
      <c r="B3" s="6" t="s">
        <v>10</v>
      </c>
      <c r="C3" s="6" t="s">
        <v>21</v>
      </c>
      <c r="D3" s="6" t="s">
        <v>12</v>
      </c>
      <c r="E3" s="6" t="s">
        <v>566</v>
      </c>
      <c r="F3" s="6" t="s">
        <v>22</v>
      </c>
      <c r="G3" s="6">
        <v>6</v>
      </c>
      <c r="H3" s="6" t="s">
        <v>23</v>
      </c>
      <c r="I3" s="6" t="s">
        <v>15</v>
      </c>
      <c r="J3" s="6" t="s">
        <v>24</v>
      </c>
      <c r="K3" s="6" t="s">
        <v>17</v>
      </c>
      <c r="L3" s="7" t="s">
        <v>25</v>
      </c>
      <c r="M3" s="8" t="s">
        <v>19</v>
      </c>
      <c r="N3" s="7" t="s">
        <v>20</v>
      </c>
    </row>
    <row r="4" spans="1:14" ht="48" x14ac:dyDescent="0.25">
      <c r="A4" s="6" t="s">
        <v>9</v>
      </c>
      <c r="B4" s="6" t="s">
        <v>10</v>
      </c>
      <c r="C4" s="6" t="s">
        <v>26</v>
      </c>
      <c r="D4" s="6" t="s">
        <v>12</v>
      </c>
      <c r="E4" s="6" t="s">
        <v>566</v>
      </c>
      <c r="F4" s="6" t="s">
        <v>27</v>
      </c>
      <c r="G4" s="6">
        <v>8</v>
      </c>
      <c r="H4" s="6" t="s">
        <v>28</v>
      </c>
      <c r="I4" s="6" t="s">
        <v>15</v>
      </c>
      <c r="J4" s="6" t="s">
        <v>29</v>
      </c>
      <c r="K4" s="6" t="s">
        <v>30</v>
      </c>
      <c r="L4" s="7" t="s">
        <v>25</v>
      </c>
      <c r="M4" s="8" t="s">
        <v>19</v>
      </c>
      <c r="N4" s="7" t="s">
        <v>20</v>
      </c>
    </row>
    <row r="5" spans="1:14" ht="48" x14ac:dyDescent="0.25">
      <c r="A5" s="6" t="s">
        <v>31</v>
      </c>
      <c r="B5" s="6" t="s">
        <v>10</v>
      </c>
      <c r="C5" s="6" t="s">
        <v>32</v>
      </c>
      <c r="D5" s="6" t="s">
        <v>33</v>
      </c>
      <c r="E5" s="6" t="s">
        <v>34</v>
      </c>
      <c r="F5" s="6" t="s">
        <v>35</v>
      </c>
      <c r="G5" s="6">
        <v>3</v>
      </c>
      <c r="H5" s="6" t="s">
        <v>36</v>
      </c>
      <c r="I5" s="6" t="s">
        <v>15</v>
      </c>
      <c r="J5" s="6" t="s">
        <v>37</v>
      </c>
      <c r="K5" s="6" t="s">
        <v>38</v>
      </c>
      <c r="L5" s="6" t="s">
        <v>25</v>
      </c>
      <c r="M5" s="8" t="s">
        <v>19</v>
      </c>
      <c r="N5" s="7" t="s">
        <v>39</v>
      </c>
    </row>
    <row r="6" spans="1:14" ht="36" x14ac:dyDescent="0.25">
      <c r="A6" s="6" t="s">
        <v>40</v>
      </c>
      <c r="B6" s="8" t="s">
        <v>41</v>
      </c>
      <c r="C6" s="6" t="s">
        <v>42</v>
      </c>
      <c r="D6" s="6" t="s">
        <v>43</v>
      </c>
      <c r="E6" s="6" t="s">
        <v>44</v>
      </c>
      <c r="F6" s="6" t="s">
        <v>45</v>
      </c>
      <c r="G6" s="6">
        <v>7</v>
      </c>
      <c r="H6" s="6">
        <f>- (3.571)</f>
        <v>-3.5710000000000002</v>
      </c>
      <c r="I6" s="6" t="s">
        <v>15</v>
      </c>
      <c r="J6" s="6" t="s">
        <v>46</v>
      </c>
      <c r="K6" s="6" t="s">
        <v>47</v>
      </c>
      <c r="L6" s="7" t="s">
        <v>48</v>
      </c>
      <c r="M6" s="8" t="s">
        <v>49</v>
      </c>
      <c r="N6" s="7" t="s">
        <v>39</v>
      </c>
    </row>
    <row r="7" spans="1:14" ht="36" x14ac:dyDescent="0.25">
      <c r="A7" s="6" t="s">
        <v>40</v>
      </c>
      <c r="B7" s="8" t="s">
        <v>50</v>
      </c>
      <c r="C7" s="6" t="s">
        <v>42</v>
      </c>
      <c r="D7" s="6" t="s">
        <v>43</v>
      </c>
      <c r="E7" s="6" t="s">
        <v>44</v>
      </c>
      <c r="F7" s="6" t="s">
        <v>51</v>
      </c>
      <c r="G7" s="6">
        <v>3</v>
      </c>
      <c r="H7" s="6">
        <f>- (2.585)</f>
        <v>-2.585</v>
      </c>
      <c r="I7" s="6" t="s">
        <v>15</v>
      </c>
      <c r="J7" s="6" t="s">
        <v>52</v>
      </c>
      <c r="K7" s="6" t="s">
        <v>47</v>
      </c>
      <c r="L7" s="7" t="s">
        <v>48</v>
      </c>
      <c r="M7" s="8" t="s">
        <v>49</v>
      </c>
      <c r="N7" s="7" t="s">
        <v>39</v>
      </c>
    </row>
    <row r="8" spans="1:14" ht="36" x14ac:dyDescent="0.25">
      <c r="A8" s="6" t="s">
        <v>40</v>
      </c>
      <c r="B8" s="8" t="s">
        <v>41</v>
      </c>
      <c r="C8" s="6" t="s">
        <v>53</v>
      </c>
      <c r="D8" s="6" t="s">
        <v>43</v>
      </c>
      <c r="E8" s="6" t="s">
        <v>44</v>
      </c>
      <c r="F8" s="6" t="s">
        <v>54</v>
      </c>
      <c r="G8" s="6">
        <v>6</v>
      </c>
      <c r="H8" s="6">
        <f>- (1.582)</f>
        <v>-1.5820000000000001</v>
      </c>
      <c r="I8" s="6" t="s">
        <v>15</v>
      </c>
      <c r="J8" s="6" t="s">
        <v>55</v>
      </c>
      <c r="K8" s="6" t="s">
        <v>47</v>
      </c>
      <c r="L8" s="7" t="s">
        <v>48</v>
      </c>
      <c r="M8" s="8" t="s">
        <v>49</v>
      </c>
      <c r="N8" s="7" t="s">
        <v>39</v>
      </c>
    </row>
    <row r="9" spans="1:14" ht="48" x14ac:dyDescent="0.25">
      <c r="A9" s="6" t="s">
        <v>40</v>
      </c>
      <c r="B9" s="8" t="s">
        <v>41</v>
      </c>
      <c r="C9" s="6" t="s">
        <v>56</v>
      </c>
      <c r="D9" s="6" t="s">
        <v>43</v>
      </c>
      <c r="E9" s="6" t="s">
        <v>44</v>
      </c>
      <c r="F9" s="6" t="s">
        <v>57</v>
      </c>
      <c r="G9" s="6">
        <v>3</v>
      </c>
      <c r="H9" s="6">
        <f>- (23.109)</f>
        <v>-23.109000000000002</v>
      </c>
      <c r="I9" s="6" t="s">
        <v>15</v>
      </c>
      <c r="J9" s="6" t="s">
        <v>58</v>
      </c>
      <c r="K9" s="6" t="s">
        <v>59</v>
      </c>
      <c r="L9" s="7" t="s">
        <v>48</v>
      </c>
      <c r="M9" s="8" t="s">
        <v>49</v>
      </c>
      <c r="N9" s="7" t="s">
        <v>39</v>
      </c>
    </row>
    <row r="10" spans="1:14" ht="84" x14ac:dyDescent="0.25">
      <c r="A10" s="6" t="s">
        <v>60</v>
      </c>
      <c r="B10" s="8" t="s">
        <v>41</v>
      </c>
      <c r="C10" s="6" t="s">
        <v>61</v>
      </c>
      <c r="D10" s="6" t="s">
        <v>62</v>
      </c>
      <c r="E10" s="6" t="s">
        <v>63</v>
      </c>
      <c r="F10" s="6" t="s">
        <v>64</v>
      </c>
      <c r="G10" s="6">
        <v>9</v>
      </c>
      <c r="H10" s="6" t="s">
        <v>65</v>
      </c>
      <c r="I10" s="6" t="s">
        <v>66</v>
      </c>
      <c r="J10" s="6" t="s">
        <v>67</v>
      </c>
      <c r="K10" s="6" t="s">
        <v>17</v>
      </c>
      <c r="L10" s="7" t="s">
        <v>25</v>
      </c>
      <c r="M10" s="8" t="s">
        <v>19</v>
      </c>
      <c r="N10" s="7" t="s">
        <v>20</v>
      </c>
    </row>
    <row r="11" spans="1:14" ht="84" x14ac:dyDescent="0.25">
      <c r="A11" s="6" t="s">
        <v>60</v>
      </c>
      <c r="B11" s="8" t="s">
        <v>41</v>
      </c>
      <c r="C11" s="6" t="s">
        <v>68</v>
      </c>
      <c r="D11" s="6" t="s">
        <v>62</v>
      </c>
      <c r="E11" s="6" t="s">
        <v>69</v>
      </c>
      <c r="F11" s="6" t="s">
        <v>70</v>
      </c>
      <c r="G11" s="6">
        <v>8</v>
      </c>
      <c r="H11" s="6" t="s">
        <v>36</v>
      </c>
      <c r="I11" s="6" t="s">
        <v>66</v>
      </c>
      <c r="J11" s="6" t="s">
        <v>71</v>
      </c>
      <c r="K11" s="6" t="s">
        <v>17</v>
      </c>
      <c r="L11" s="7" t="s">
        <v>25</v>
      </c>
      <c r="M11" s="8" t="s">
        <v>19</v>
      </c>
      <c r="N11" s="7" t="s">
        <v>20</v>
      </c>
    </row>
    <row r="12" spans="1:14" ht="36" x14ac:dyDescent="0.25">
      <c r="A12" s="6" t="s">
        <v>72</v>
      </c>
      <c r="B12" s="9" t="s">
        <v>41</v>
      </c>
      <c r="C12" s="6" t="s">
        <v>73</v>
      </c>
      <c r="D12" s="6" t="s">
        <v>74</v>
      </c>
      <c r="E12" s="6" t="s">
        <v>75</v>
      </c>
      <c r="F12" s="6" t="s">
        <v>76</v>
      </c>
      <c r="G12" s="6">
        <v>9</v>
      </c>
      <c r="H12" s="6" t="s">
        <v>36</v>
      </c>
      <c r="I12" s="6" t="s">
        <v>15</v>
      </c>
      <c r="J12" s="6" t="s">
        <v>77</v>
      </c>
      <c r="K12" s="6" t="s">
        <v>38</v>
      </c>
      <c r="L12" s="6" t="s">
        <v>78</v>
      </c>
      <c r="M12" s="9" t="s">
        <v>19</v>
      </c>
      <c r="N12" s="6" t="s">
        <v>39</v>
      </c>
    </row>
    <row r="13" spans="1:14" ht="48" x14ac:dyDescent="0.25">
      <c r="A13" s="6" t="s">
        <v>72</v>
      </c>
      <c r="B13" s="9" t="s">
        <v>41</v>
      </c>
      <c r="C13" s="6" t="s">
        <v>79</v>
      </c>
      <c r="D13" s="6" t="s">
        <v>74</v>
      </c>
      <c r="E13" s="6" t="s">
        <v>80</v>
      </c>
      <c r="F13" s="6" t="s">
        <v>81</v>
      </c>
      <c r="G13" s="6">
        <v>7</v>
      </c>
      <c r="H13" s="6" t="s">
        <v>36</v>
      </c>
      <c r="I13" s="6" t="s">
        <v>15</v>
      </c>
      <c r="J13" s="6" t="s">
        <v>82</v>
      </c>
      <c r="K13" s="6" t="s">
        <v>38</v>
      </c>
      <c r="L13" s="6" t="s">
        <v>25</v>
      </c>
      <c r="M13" s="9" t="s">
        <v>19</v>
      </c>
      <c r="N13" s="6" t="s">
        <v>39</v>
      </c>
    </row>
    <row r="14" spans="1:14" ht="60" x14ac:dyDescent="0.25">
      <c r="A14" s="6" t="s">
        <v>40</v>
      </c>
      <c r="B14" s="6" t="s">
        <v>83</v>
      </c>
      <c r="C14" s="6" t="s">
        <v>84</v>
      </c>
      <c r="D14" s="6" t="s">
        <v>43</v>
      </c>
      <c r="E14" s="6" t="s">
        <v>34</v>
      </c>
      <c r="F14" s="6" t="s">
        <v>85</v>
      </c>
      <c r="G14" s="6">
        <v>5</v>
      </c>
      <c r="H14" s="6">
        <f>- (1.162)</f>
        <v>-1.1619999999999999</v>
      </c>
      <c r="I14" s="6" t="s">
        <v>86</v>
      </c>
      <c r="J14" s="6" t="s">
        <v>87</v>
      </c>
      <c r="K14" s="6" t="s">
        <v>47</v>
      </c>
      <c r="L14" s="7" t="s">
        <v>48</v>
      </c>
      <c r="M14" s="8" t="s">
        <v>49</v>
      </c>
      <c r="N14" s="7" t="s">
        <v>39</v>
      </c>
    </row>
    <row r="15" spans="1:14" ht="36" x14ac:dyDescent="0.25">
      <c r="A15" s="6" t="s">
        <v>31</v>
      </c>
      <c r="B15" s="6" t="s">
        <v>88</v>
      </c>
      <c r="C15" s="6" t="s">
        <v>89</v>
      </c>
      <c r="D15" s="6" t="s">
        <v>33</v>
      </c>
      <c r="E15" s="6" t="s">
        <v>34</v>
      </c>
      <c r="F15" s="6" t="s">
        <v>90</v>
      </c>
      <c r="G15" s="6">
        <v>8</v>
      </c>
      <c r="H15" s="6" t="s">
        <v>36</v>
      </c>
      <c r="I15" s="6" t="s">
        <v>15</v>
      </c>
      <c r="J15" s="6" t="s">
        <v>91</v>
      </c>
      <c r="K15" s="6" t="s">
        <v>92</v>
      </c>
      <c r="L15" s="6" t="s">
        <v>78</v>
      </c>
      <c r="M15" s="8" t="s">
        <v>19</v>
      </c>
      <c r="N15" s="7" t="s">
        <v>39</v>
      </c>
    </row>
    <row r="16" spans="1:14" ht="48" x14ac:dyDescent="0.25">
      <c r="A16" s="6" t="s">
        <v>31</v>
      </c>
      <c r="B16" s="6" t="s">
        <v>88</v>
      </c>
      <c r="C16" s="6" t="s">
        <v>93</v>
      </c>
      <c r="D16" s="6" t="s">
        <v>33</v>
      </c>
      <c r="E16" s="6" t="s">
        <v>34</v>
      </c>
      <c r="F16" s="6" t="s">
        <v>94</v>
      </c>
      <c r="G16" s="6">
        <v>7</v>
      </c>
      <c r="H16" s="6" t="s">
        <v>36</v>
      </c>
      <c r="I16" s="6" t="s">
        <v>15</v>
      </c>
      <c r="J16" s="6" t="s">
        <v>95</v>
      </c>
      <c r="K16" s="6" t="s">
        <v>92</v>
      </c>
      <c r="L16" s="6" t="s">
        <v>25</v>
      </c>
      <c r="M16" s="8" t="s">
        <v>19</v>
      </c>
      <c r="N16" s="7" t="s">
        <v>39</v>
      </c>
    </row>
    <row r="17" spans="1:14" ht="48" x14ac:dyDescent="0.25">
      <c r="A17" s="6" t="s">
        <v>31</v>
      </c>
      <c r="B17" s="6" t="s">
        <v>88</v>
      </c>
      <c r="C17" s="6" t="s">
        <v>96</v>
      </c>
      <c r="D17" s="6" t="s">
        <v>33</v>
      </c>
      <c r="E17" s="6" t="s">
        <v>34</v>
      </c>
      <c r="F17" s="6" t="s">
        <v>97</v>
      </c>
      <c r="G17" s="6">
        <v>3</v>
      </c>
      <c r="H17" s="6" t="s">
        <v>36</v>
      </c>
      <c r="I17" s="6" t="s">
        <v>15</v>
      </c>
      <c r="J17" s="6" t="s">
        <v>98</v>
      </c>
      <c r="K17" s="6" t="s">
        <v>38</v>
      </c>
      <c r="L17" s="6" t="s">
        <v>25</v>
      </c>
      <c r="M17" s="8" t="s">
        <v>19</v>
      </c>
      <c r="N17" s="7" t="s">
        <v>39</v>
      </c>
    </row>
    <row r="18" spans="1:14" ht="36" x14ac:dyDescent="0.25">
      <c r="A18" s="6" t="s">
        <v>31</v>
      </c>
      <c r="B18" s="6" t="s">
        <v>88</v>
      </c>
      <c r="C18" s="6" t="s">
        <v>32</v>
      </c>
      <c r="D18" s="6" t="s">
        <v>33</v>
      </c>
      <c r="E18" s="6" t="s">
        <v>34</v>
      </c>
      <c r="F18" s="6" t="s">
        <v>99</v>
      </c>
      <c r="G18" s="6">
        <v>7</v>
      </c>
      <c r="H18" s="6" t="s">
        <v>36</v>
      </c>
      <c r="I18" s="6" t="s">
        <v>15</v>
      </c>
      <c r="J18" s="6" t="s">
        <v>100</v>
      </c>
      <c r="K18" s="6" t="s">
        <v>38</v>
      </c>
      <c r="L18" s="6" t="s">
        <v>78</v>
      </c>
      <c r="M18" s="8" t="s">
        <v>19</v>
      </c>
      <c r="N18" s="7" t="s">
        <v>39</v>
      </c>
    </row>
    <row r="19" spans="1:14" ht="36" x14ac:dyDescent="0.25">
      <c r="A19" s="6" t="s">
        <v>31</v>
      </c>
      <c r="B19" s="6" t="s">
        <v>88</v>
      </c>
      <c r="C19" s="6" t="s">
        <v>101</v>
      </c>
      <c r="D19" s="6" t="s">
        <v>33</v>
      </c>
      <c r="E19" s="6" t="s">
        <v>34</v>
      </c>
      <c r="F19" s="6" t="s">
        <v>102</v>
      </c>
      <c r="G19" s="6">
        <v>5</v>
      </c>
      <c r="H19" s="6" t="s">
        <v>36</v>
      </c>
      <c r="I19" s="6" t="s">
        <v>15</v>
      </c>
      <c r="J19" s="6" t="s">
        <v>103</v>
      </c>
      <c r="K19" s="6" t="s">
        <v>38</v>
      </c>
      <c r="L19" s="6" t="s">
        <v>78</v>
      </c>
      <c r="M19" s="8" t="s">
        <v>19</v>
      </c>
      <c r="N19" s="7" t="s">
        <v>39</v>
      </c>
    </row>
    <row r="20" spans="1:14" ht="84" x14ac:dyDescent="0.25">
      <c r="A20" s="6" t="s">
        <v>60</v>
      </c>
      <c r="B20" s="6" t="s">
        <v>104</v>
      </c>
      <c r="C20" s="6" t="s">
        <v>68</v>
      </c>
      <c r="D20" s="6" t="s">
        <v>62</v>
      </c>
      <c r="E20" s="6" t="s">
        <v>105</v>
      </c>
      <c r="F20" s="6" t="s">
        <v>106</v>
      </c>
      <c r="G20" s="6">
        <v>6</v>
      </c>
      <c r="H20" s="6" t="s">
        <v>36</v>
      </c>
      <c r="I20" s="6" t="s">
        <v>66</v>
      </c>
      <c r="J20" s="6" t="s">
        <v>107</v>
      </c>
      <c r="K20" s="6" t="s">
        <v>92</v>
      </c>
      <c r="L20" s="7" t="s">
        <v>108</v>
      </c>
      <c r="M20" s="8" t="s">
        <v>19</v>
      </c>
      <c r="N20" s="7" t="s">
        <v>20</v>
      </c>
    </row>
    <row r="21" spans="1:14" ht="84" x14ac:dyDescent="0.25">
      <c r="A21" s="6" t="s">
        <v>60</v>
      </c>
      <c r="B21" s="6" t="s">
        <v>104</v>
      </c>
      <c r="C21" s="6" t="s">
        <v>61</v>
      </c>
      <c r="D21" s="6" t="s">
        <v>62</v>
      </c>
      <c r="E21" s="6" t="s">
        <v>109</v>
      </c>
      <c r="F21" s="6" t="s">
        <v>110</v>
      </c>
      <c r="G21" s="6">
        <v>6</v>
      </c>
      <c r="H21" s="6" t="s">
        <v>36</v>
      </c>
      <c r="I21" s="6" t="s">
        <v>66</v>
      </c>
      <c r="J21" s="6" t="s">
        <v>111</v>
      </c>
      <c r="K21" s="6" t="s">
        <v>30</v>
      </c>
      <c r="L21" s="7" t="s">
        <v>108</v>
      </c>
      <c r="M21" s="9" t="s">
        <v>19</v>
      </c>
      <c r="N21" s="6" t="s">
        <v>20</v>
      </c>
    </row>
    <row r="22" spans="1:14" ht="48" x14ac:dyDescent="0.25">
      <c r="A22" s="6" t="s">
        <v>72</v>
      </c>
      <c r="B22" s="6" t="s">
        <v>104</v>
      </c>
      <c r="C22" s="6" t="s">
        <v>73</v>
      </c>
      <c r="D22" s="6" t="s">
        <v>74</v>
      </c>
      <c r="E22" s="6" t="s">
        <v>80</v>
      </c>
      <c r="F22" s="6" t="s">
        <v>112</v>
      </c>
      <c r="G22" s="6">
        <v>5</v>
      </c>
      <c r="H22" s="6" t="s">
        <v>36</v>
      </c>
      <c r="I22" s="6" t="s">
        <v>15</v>
      </c>
      <c r="J22" s="6" t="s">
        <v>113</v>
      </c>
      <c r="K22" s="6" t="s">
        <v>38</v>
      </c>
      <c r="L22" s="6" t="s">
        <v>25</v>
      </c>
      <c r="M22" s="9" t="s">
        <v>19</v>
      </c>
      <c r="N22" s="6" t="s">
        <v>39</v>
      </c>
    </row>
    <row r="23" spans="1:14" ht="48.75" thickBot="1" x14ac:dyDescent="0.3">
      <c r="A23" s="10" t="s">
        <v>72</v>
      </c>
      <c r="B23" s="10" t="s">
        <v>104</v>
      </c>
      <c r="C23" s="10" t="s">
        <v>79</v>
      </c>
      <c r="D23" s="10" t="s">
        <v>74</v>
      </c>
      <c r="E23" s="10" t="s">
        <v>80</v>
      </c>
      <c r="F23" s="10" t="s">
        <v>114</v>
      </c>
      <c r="G23" s="10">
        <v>2</v>
      </c>
      <c r="H23" s="10" t="s">
        <v>36</v>
      </c>
      <c r="I23" s="10" t="s">
        <v>15</v>
      </c>
      <c r="J23" s="10" t="s">
        <v>115</v>
      </c>
      <c r="K23" s="10" t="s">
        <v>38</v>
      </c>
      <c r="L23" s="10" t="s">
        <v>25</v>
      </c>
      <c r="M23" s="11" t="s">
        <v>19</v>
      </c>
      <c r="N23" s="10" t="s">
        <v>39</v>
      </c>
    </row>
    <row r="24" spans="1:14" ht="36" x14ac:dyDescent="0.25">
      <c r="A24" s="6" t="s">
        <v>116</v>
      </c>
      <c r="B24" s="6" t="s">
        <v>117</v>
      </c>
      <c r="C24" s="6" t="s">
        <v>11</v>
      </c>
      <c r="D24" s="6" t="s">
        <v>118</v>
      </c>
      <c r="E24" s="6" t="s">
        <v>34</v>
      </c>
      <c r="F24" s="6" t="s">
        <v>119</v>
      </c>
      <c r="G24" s="6">
        <v>9</v>
      </c>
      <c r="H24" s="6" t="s">
        <v>120</v>
      </c>
      <c r="I24" s="6" t="s">
        <v>121</v>
      </c>
      <c r="J24" s="6" t="s">
        <v>122</v>
      </c>
      <c r="K24" s="6" t="s">
        <v>38</v>
      </c>
      <c r="L24" s="6" t="s">
        <v>123</v>
      </c>
      <c r="M24" s="6" t="s">
        <v>49</v>
      </c>
      <c r="N24" s="6" t="s">
        <v>39</v>
      </c>
    </row>
    <row r="25" spans="1:14" ht="36" x14ac:dyDescent="0.25">
      <c r="A25" s="6" t="s">
        <v>124</v>
      </c>
      <c r="B25" s="6" t="s">
        <v>117</v>
      </c>
      <c r="C25" s="6" t="s">
        <v>26</v>
      </c>
      <c r="D25" s="6" t="s">
        <v>118</v>
      </c>
      <c r="E25" s="6" t="s">
        <v>34</v>
      </c>
      <c r="F25" s="6" t="s">
        <v>64</v>
      </c>
      <c r="G25" s="6">
        <v>7</v>
      </c>
      <c r="H25" s="6" t="s">
        <v>125</v>
      </c>
      <c r="I25" s="6" t="s">
        <v>121</v>
      </c>
      <c r="J25" s="6" t="s">
        <v>126</v>
      </c>
      <c r="K25" s="6" t="s">
        <v>38</v>
      </c>
      <c r="L25" s="6" t="s">
        <v>123</v>
      </c>
      <c r="M25" s="6" t="s">
        <v>49</v>
      </c>
      <c r="N25" s="6" t="s">
        <v>39</v>
      </c>
    </row>
    <row r="26" spans="1:14" ht="36" x14ac:dyDescent="0.25">
      <c r="A26" s="6" t="s">
        <v>124</v>
      </c>
      <c r="B26" s="6" t="s">
        <v>117</v>
      </c>
      <c r="C26" s="6" t="s">
        <v>127</v>
      </c>
      <c r="D26" s="6" t="s">
        <v>118</v>
      </c>
      <c r="E26" s="6" t="s">
        <v>34</v>
      </c>
      <c r="F26" s="6" t="s">
        <v>128</v>
      </c>
      <c r="G26" s="6">
        <v>8</v>
      </c>
      <c r="H26" s="6" t="s">
        <v>129</v>
      </c>
      <c r="I26" s="6" t="s">
        <v>121</v>
      </c>
      <c r="J26" s="6" t="s">
        <v>130</v>
      </c>
      <c r="K26" s="6" t="s">
        <v>92</v>
      </c>
      <c r="L26" s="7" t="s">
        <v>123</v>
      </c>
      <c r="M26" s="7" t="s">
        <v>49</v>
      </c>
      <c r="N26" s="7" t="s">
        <v>39</v>
      </c>
    </row>
    <row r="27" spans="1:14" ht="36" x14ac:dyDescent="0.25">
      <c r="A27" s="6" t="s">
        <v>124</v>
      </c>
      <c r="B27" s="6" t="s">
        <v>117</v>
      </c>
      <c r="C27" s="6" t="s">
        <v>131</v>
      </c>
      <c r="D27" s="6" t="s">
        <v>118</v>
      </c>
      <c r="E27" s="6" t="s">
        <v>34</v>
      </c>
      <c r="F27" s="6" t="s">
        <v>132</v>
      </c>
      <c r="G27" s="6">
        <v>3</v>
      </c>
      <c r="H27" s="6" t="s">
        <v>133</v>
      </c>
      <c r="I27" s="6" t="s">
        <v>121</v>
      </c>
      <c r="J27" s="6" t="s">
        <v>134</v>
      </c>
      <c r="K27" s="6" t="s">
        <v>92</v>
      </c>
      <c r="L27" s="6" t="s">
        <v>123</v>
      </c>
      <c r="M27" s="6" t="s">
        <v>49</v>
      </c>
      <c r="N27" s="6" t="s">
        <v>39</v>
      </c>
    </row>
    <row r="28" spans="1:14" ht="36" x14ac:dyDescent="0.25">
      <c r="A28" s="6" t="s">
        <v>124</v>
      </c>
      <c r="B28" s="6" t="s">
        <v>117</v>
      </c>
      <c r="C28" s="6" t="s">
        <v>21</v>
      </c>
      <c r="D28" s="6" t="s">
        <v>118</v>
      </c>
      <c r="E28" s="6" t="s">
        <v>34</v>
      </c>
      <c r="F28" s="6" t="s">
        <v>135</v>
      </c>
      <c r="G28" s="6">
        <v>5</v>
      </c>
      <c r="H28" s="6" t="s">
        <v>136</v>
      </c>
      <c r="I28" s="6" t="s">
        <v>121</v>
      </c>
      <c r="J28" s="6" t="s">
        <v>137</v>
      </c>
      <c r="K28" s="6" t="s">
        <v>38</v>
      </c>
      <c r="L28" s="6" t="s">
        <v>123</v>
      </c>
      <c r="M28" s="6" t="s">
        <v>49</v>
      </c>
      <c r="N28" s="6" t="s">
        <v>39</v>
      </c>
    </row>
    <row r="29" spans="1:14" ht="36" x14ac:dyDescent="0.25">
      <c r="A29" s="6" t="s">
        <v>124</v>
      </c>
      <c r="B29" s="6" t="s">
        <v>117</v>
      </c>
      <c r="C29" s="6" t="s">
        <v>138</v>
      </c>
      <c r="D29" s="6" t="s">
        <v>118</v>
      </c>
      <c r="E29" s="6" t="s">
        <v>34</v>
      </c>
      <c r="F29" s="6" t="s">
        <v>139</v>
      </c>
      <c r="G29" s="6">
        <v>6</v>
      </c>
      <c r="H29" s="6" t="s">
        <v>140</v>
      </c>
      <c r="I29" s="6" t="s">
        <v>121</v>
      </c>
      <c r="J29" s="6" t="s">
        <v>141</v>
      </c>
      <c r="K29" s="6" t="s">
        <v>38</v>
      </c>
      <c r="L29" s="6" t="s">
        <v>123</v>
      </c>
      <c r="M29" s="6" t="s">
        <v>49</v>
      </c>
      <c r="N29" s="6" t="s">
        <v>39</v>
      </c>
    </row>
    <row r="30" spans="1:14" ht="36" x14ac:dyDescent="0.25">
      <c r="A30" s="6" t="s">
        <v>124</v>
      </c>
      <c r="B30" s="6" t="s">
        <v>117</v>
      </c>
      <c r="C30" s="6" t="s">
        <v>142</v>
      </c>
      <c r="D30" s="6" t="s">
        <v>118</v>
      </c>
      <c r="E30" s="6" t="s">
        <v>34</v>
      </c>
      <c r="F30" s="6" t="s">
        <v>143</v>
      </c>
      <c r="G30" s="6">
        <v>3</v>
      </c>
      <c r="H30" s="6" t="s">
        <v>144</v>
      </c>
      <c r="I30" s="6" t="s">
        <v>121</v>
      </c>
      <c r="J30" s="6" t="s">
        <v>145</v>
      </c>
      <c r="K30" s="6" t="s">
        <v>38</v>
      </c>
      <c r="L30" s="6" t="s">
        <v>123</v>
      </c>
      <c r="M30" s="6" t="s">
        <v>49</v>
      </c>
      <c r="N30" s="6" t="s">
        <v>39</v>
      </c>
    </row>
    <row r="31" spans="1:14" ht="36" x14ac:dyDescent="0.25">
      <c r="A31" s="6" t="s">
        <v>124</v>
      </c>
      <c r="B31" s="6" t="s">
        <v>117</v>
      </c>
      <c r="C31" s="6" t="s">
        <v>146</v>
      </c>
      <c r="D31" s="6" t="s">
        <v>118</v>
      </c>
      <c r="E31" s="6" t="s">
        <v>34</v>
      </c>
      <c r="F31" s="6" t="s">
        <v>147</v>
      </c>
      <c r="G31" s="6">
        <v>3</v>
      </c>
      <c r="H31" s="6" t="s">
        <v>144</v>
      </c>
      <c r="I31" s="6" t="s">
        <v>121</v>
      </c>
      <c r="J31" s="6" t="s">
        <v>148</v>
      </c>
      <c r="K31" s="6" t="s">
        <v>38</v>
      </c>
      <c r="L31" s="6" t="s">
        <v>123</v>
      </c>
      <c r="M31" s="6" t="s">
        <v>49</v>
      </c>
      <c r="N31" s="6" t="s">
        <v>39</v>
      </c>
    </row>
    <row r="32" spans="1:14" ht="36" x14ac:dyDescent="0.25">
      <c r="A32" s="6" t="s">
        <v>124</v>
      </c>
      <c r="B32" s="6" t="s">
        <v>117</v>
      </c>
      <c r="C32" s="6" t="s">
        <v>149</v>
      </c>
      <c r="D32" s="6" t="s">
        <v>118</v>
      </c>
      <c r="E32" s="6" t="s">
        <v>34</v>
      </c>
      <c r="F32" s="6" t="s">
        <v>150</v>
      </c>
      <c r="G32" s="6">
        <v>7</v>
      </c>
      <c r="H32" s="6" t="s">
        <v>151</v>
      </c>
      <c r="I32" s="6" t="s">
        <v>121</v>
      </c>
      <c r="J32" s="6" t="s">
        <v>152</v>
      </c>
      <c r="K32" s="6" t="s">
        <v>38</v>
      </c>
      <c r="L32" s="6" t="s">
        <v>123</v>
      </c>
      <c r="M32" s="9" t="s">
        <v>49</v>
      </c>
      <c r="N32" s="6" t="s">
        <v>39</v>
      </c>
    </row>
    <row r="33" spans="1:14" ht="36" x14ac:dyDescent="0.25">
      <c r="A33" s="6" t="s">
        <v>124</v>
      </c>
      <c r="B33" s="6" t="s">
        <v>153</v>
      </c>
      <c r="C33" s="6" t="s">
        <v>154</v>
      </c>
      <c r="D33" s="6" t="s">
        <v>155</v>
      </c>
      <c r="E33" s="6" t="s">
        <v>34</v>
      </c>
      <c r="F33" s="6" t="s">
        <v>156</v>
      </c>
      <c r="G33" s="6">
        <v>17</v>
      </c>
      <c r="H33" s="6" t="s">
        <v>157</v>
      </c>
      <c r="I33" s="6" t="s">
        <v>121</v>
      </c>
      <c r="J33" s="6" t="s">
        <v>158</v>
      </c>
      <c r="K33" s="6" t="s">
        <v>92</v>
      </c>
      <c r="L33" s="7" t="s">
        <v>123</v>
      </c>
      <c r="M33" s="9" t="s">
        <v>49</v>
      </c>
      <c r="N33" s="6" t="s">
        <v>39</v>
      </c>
    </row>
    <row r="34" spans="1:14" ht="36" x14ac:dyDescent="0.25">
      <c r="A34" s="6" t="s">
        <v>124</v>
      </c>
      <c r="B34" s="6" t="s">
        <v>153</v>
      </c>
      <c r="C34" s="6" t="s">
        <v>127</v>
      </c>
      <c r="D34" s="6" t="s">
        <v>155</v>
      </c>
      <c r="E34" s="6" t="s">
        <v>34</v>
      </c>
      <c r="F34" s="6" t="s">
        <v>159</v>
      </c>
      <c r="G34" s="6">
        <v>20</v>
      </c>
      <c r="H34" s="6" t="s">
        <v>160</v>
      </c>
      <c r="I34" s="6" t="s">
        <v>121</v>
      </c>
      <c r="J34" s="6" t="s">
        <v>161</v>
      </c>
      <c r="K34" s="6" t="s">
        <v>92</v>
      </c>
      <c r="L34" s="7" t="s">
        <v>123</v>
      </c>
      <c r="M34" s="9" t="s">
        <v>49</v>
      </c>
      <c r="N34" s="6" t="s">
        <v>39</v>
      </c>
    </row>
    <row r="35" spans="1:14" ht="36" x14ac:dyDescent="0.25">
      <c r="A35" s="6" t="s">
        <v>124</v>
      </c>
      <c r="B35" s="6" t="s">
        <v>153</v>
      </c>
      <c r="C35" s="6" t="s">
        <v>131</v>
      </c>
      <c r="D35" s="6" t="s">
        <v>155</v>
      </c>
      <c r="E35" s="6" t="s">
        <v>34</v>
      </c>
      <c r="F35" s="6" t="s">
        <v>162</v>
      </c>
      <c r="G35" s="6">
        <v>8</v>
      </c>
      <c r="H35" s="6" t="s">
        <v>163</v>
      </c>
      <c r="I35" s="6" t="s">
        <v>121</v>
      </c>
      <c r="J35" s="6" t="s">
        <v>164</v>
      </c>
      <c r="K35" s="6" t="s">
        <v>92</v>
      </c>
      <c r="L35" s="7" t="s">
        <v>123</v>
      </c>
      <c r="M35" s="9" t="s">
        <v>49</v>
      </c>
      <c r="N35" s="6" t="s">
        <v>39</v>
      </c>
    </row>
    <row r="36" spans="1:14" ht="36" x14ac:dyDescent="0.25">
      <c r="A36" s="6" t="s">
        <v>124</v>
      </c>
      <c r="B36" s="6" t="s">
        <v>153</v>
      </c>
      <c r="C36" s="6" t="s">
        <v>138</v>
      </c>
      <c r="D36" s="6" t="s">
        <v>155</v>
      </c>
      <c r="E36" s="6" t="s">
        <v>34</v>
      </c>
      <c r="F36" s="6" t="s">
        <v>165</v>
      </c>
      <c r="G36" s="6">
        <v>9</v>
      </c>
      <c r="H36" s="6" t="s">
        <v>166</v>
      </c>
      <c r="I36" s="6" t="s">
        <v>121</v>
      </c>
      <c r="J36" s="6" t="s">
        <v>167</v>
      </c>
      <c r="K36" s="6" t="s">
        <v>92</v>
      </c>
      <c r="L36" s="7" t="s">
        <v>123</v>
      </c>
      <c r="M36" s="9" t="s">
        <v>49</v>
      </c>
      <c r="N36" s="6" t="s">
        <v>39</v>
      </c>
    </row>
    <row r="37" spans="1:14" ht="36" x14ac:dyDescent="0.25">
      <c r="A37" s="6" t="s">
        <v>124</v>
      </c>
      <c r="B37" s="6" t="s">
        <v>153</v>
      </c>
      <c r="C37" s="6" t="s">
        <v>142</v>
      </c>
      <c r="D37" s="6" t="s">
        <v>155</v>
      </c>
      <c r="E37" s="6" t="s">
        <v>34</v>
      </c>
      <c r="F37" s="6" t="s">
        <v>168</v>
      </c>
      <c r="G37" s="6">
        <v>9</v>
      </c>
      <c r="H37" s="6" t="s">
        <v>169</v>
      </c>
      <c r="I37" s="6" t="s">
        <v>121</v>
      </c>
      <c r="J37" s="6" t="s">
        <v>170</v>
      </c>
      <c r="K37" s="6" t="s">
        <v>92</v>
      </c>
      <c r="L37" s="7" t="s">
        <v>123</v>
      </c>
      <c r="M37" s="6" t="s">
        <v>49</v>
      </c>
      <c r="N37" s="6" t="s">
        <v>39</v>
      </c>
    </row>
    <row r="38" spans="1:14" ht="36" x14ac:dyDescent="0.25">
      <c r="A38" s="6" t="s">
        <v>124</v>
      </c>
      <c r="B38" s="6" t="s">
        <v>153</v>
      </c>
      <c r="C38" s="6" t="s">
        <v>171</v>
      </c>
      <c r="D38" s="6" t="s">
        <v>155</v>
      </c>
      <c r="E38" s="6" t="s">
        <v>34</v>
      </c>
      <c r="F38" s="6" t="s">
        <v>172</v>
      </c>
      <c r="G38" s="6">
        <v>11</v>
      </c>
      <c r="H38" s="6" t="s">
        <v>173</v>
      </c>
      <c r="I38" s="6" t="s">
        <v>121</v>
      </c>
      <c r="J38" s="6" t="s">
        <v>174</v>
      </c>
      <c r="K38" s="6" t="s">
        <v>92</v>
      </c>
      <c r="L38" s="7" t="s">
        <v>123</v>
      </c>
      <c r="M38" s="6" t="s">
        <v>49</v>
      </c>
      <c r="N38" s="6" t="s">
        <v>39</v>
      </c>
    </row>
    <row r="39" spans="1:14" ht="36" x14ac:dyDescent="0.25">
      <c r="A39" s="6" t="s">
        <v>124</v>
      </c>
      <c r="B39" s="6" t="s">
        <v>175</v>
      </c>
      <c r="C39" s="6" t="s">
        <v>176</v>
      </c>
      <c r="D39" s="6" t="s">
        <v>155</v>
      </c>
      <c r="E39" s="6" t="s">
        <v>34</v>
      </c>
      <c r="F39" s="6" t="s">
        <v>177</v>
      </c>
      <c r="G39" s="6">
        <v>11</v>
      </c>
      <c r="H39" s="6" t="s">
        <v>178</v>
      </c>
      <c r="I39" s="6" t="s">
        <v>121</v>
      </c>
      <c r="J39" s="6" t="s">
        <v>179</v>
      </c>
      <c r="K39" s="6" t="s">
        <v>92</v>
      </c>
      <c r="L39" s="7" t="s">
        <v>123</v>
      </c>
      <c r="M39" s="6" t="s">
        <v>49</v>
      </c>
      <c r="N39" s="6" t="s">
        <v>39</v>
      </c>
    </row>
    <row r="40" spans="1:14" ht="36" x14ac:dyDescent="0.25">
      <c r="A40" s="6" t="s">
        <v>180</v>
      </c>
      <c r="B40" s="6" t="s">
        <v>181</v>
      </c>
      <c r="C40" s="6" t="s">
        <v>11</v>
      </c>
      <c r="D40" s="9" t="s">
        <v>182</v>
      </c>
      <c r="E40" s="6" t="s">
        <v>34</v>
      </c>
      <c r="F40" s="6" t="s">
        <v>183</v>
      </c>
      <c r="G40" s="6">
        <v>14</v>
      </c>
      <c r="H40" s="6" t="s">
        <v>184</v>
      </c>
      <c r="I40" s="6" t="s">
        <v>15</v>
      </c>
      <c r="J40" s="6" t="s">
        <v>185</v>
      </c>
      <c r="K40" s="6" t="s">
        <v>92</v>
      </c>
      <c r="L40" s="6" t="s">
        <v>78</v>
      </c>
      <c r="M40" s="6" t="s">
        <v>19</v>
      </c>
      <c r="N40" s="6" t="s">
        <v>20</v>
      </c>
    </row>
    <row r="41" spans="1:14" ht="48" x14ac:dyDescent="0.25">
      <c r="A41" s="6" t="s">
        <v>186</v>
      </c>
      <c r="B41" s="6" t="s">
        <v>181</v>
      </c>
      <c r="C41" s="6" t="s">
        <v>26</v>
      </c>
      <c r="D41" s="6" t="s">
        <v>182</v>
      </c>
      <c r="E41" s="6" t="s">
        <v>34</v>
      </c>
      <c r="F41" s="6" t="s">
        <v>187</v>
      </c>
      <c r="G41" s="6">
        <v>7</v>
      </c>
      <c r="H41" s="6" t="s">
        <v>188</v>
      </c>
      <c r="I41" s="6" t="s">
        <v>15</v>
      </c>
      <c r="J41" s="6" t="s">
        <v>189</v>
      </c>
      <c r="K41" s="6" t="s">
        <v>92</v>
      </c>
      <c r="L41" s="7" t="s">
        <v>108</v>
      </c>
      <c r="M41" s="6" t="s">
        <v>19</v>
      </c>
      <c r="N41" s="6" t="s">
        <v>20</v>
      </c>
    </row>
    <row r="42" spans="1:14" ht="36" x14ac:dyDescent="0.25">
      <c r="A42" s="6" t="s">
        <v>186</v>
      </c>
      <c r="B42" s="6" t="s">
        <v>181</v>
      </c>
      <c r="C42" s="6" t="s">
        <v>21</v>
      </c>
      <c r="D42" s="6" t="s">
        <v>182</v>
      </c>
      <c r="E42" s="6" t="s">
        <v>34</v>
      </c>
      <c r="F42" s="6" t="s">
        <v>190</v>
      </c>
      <c r="G42" s="6">
        <v>13</v>
      </c>
      <c r="H42" s="6" t="s">
        <v>191</v>
      </c>
      <c r="I42" s="6" t="s">
        <v>15</v>
      </c>
      <c r="J42" s="6" t="s">
        <v>192</v>
      </c>
      <c r="K42" s="6" t="s">
        <v>92</v>
      </c>
      <c r="L42" s="6" t="s">
        <v>78</v>
      </c>
      <c r="M42" s="6" t="s">
        <v>19</v>
      </c>
      <c r="N42" s="6" t="s">
        <v>20</v>
      </c>
    </row>
    <row r="43" spans="1:14" ht="48" x14ac:dyDescent="0.25">
      <c r="A43" s="6" t="s">
        <v>186</v>
      </c>
      <c r="B43" s="6" t="s">
        <v>193</v>
      </c>
      <c r="C43" s="6" t="s">
        <v>11</v>
      </c>
      <c r="D43" s="9" t="s">
        <v>194</v>
      </c>
      <c r="E43" s="6" t="s">
        <v>34</v>
      </c>
      <c r="F43" s="6" t="s">
        <v>195</v>
      </c>
      <c r="G43" s="6">
        <v>7</v>
      </c>
      <c r="H43" s="6" t="s">
        <v>196</v>
      </c>
      <c r="I43" s="6" t="s">
        <v>15</v>
      </c>
      <c r="J43" s="6" t="s">
        <v>197</v>
      </c>
      <c r="K43" s="6" t="s">
        <v>38</v>
      </c>
      <c r="L43" s="6" t="s">
        <v>108</v>
      </c>
      <c r="M43" s="6" t="s">
        <v>19</v>
      </c>
      <c r="N43" s="6" t="s">
        <v>20</v>
      </c>
    </row>
    <row r="44" spans="1:14" ht="48" x14ac:dyDescent="0.25">
      <c r="A44" s="6" t="s">
        <v>186</v>
      </c>
      <c r="B44" s="6" t="s">
        <v>193</v>
      </c>
      <c r="C44" s="6" t="s">
        <v>26</v>
      </c>
      <c r="D44" s="9" t="s">
        <v>194</v>
      </c>
      <c r="E44" s="6" t="s">
        <v>34</v>
      </c>
      <c r="F44" s="6" t="s">
        <v>198</v>
      </c>
      <c r="G44" s="6">
        <v>4</v>
      </c>
      <c r="H44" s="6" t="s">
        <v>199</v>
      </c>
      <c r="I44" s="6" t="s">
        <v>15</v>
      </c>
      <c r="J44" s="6" t="s">
        <v>200</v>
      </c>
      <c r="K44" s="6" t="s">
        <v>38</v>
      </c>
      <c r="L44" s="6" t="s">
        <v>25</v>
      </c>
      <c r="M44" s="6" t="s">
        <v>19</v>
      </c>
      <c r="N44" s="6" t="s">
        <v>20</v>
      </c>
    </row>
    <row r="45" spans="1:14" ht="36" x14ac:dyDescent="0.25">
      <c r="A45" s="6" t="s">
        <v>186</v>
      </c>
      <c r="B45" s="6" t="s">
        <v>193</v>
      </c>
      <c r="C45" s="6" t="s">
        <v>21</v>
      </c>
      <c r="D45" s="9" t="s">
        <v>194</v>
      </c>
      <c r="E45" s="6" t="s">
        <v>34</v>
      </c>
      <c r="F45" s="6" t="s">
        <v>201</v>
      </c>
      <c r="G45" s="6">
        <v>7</v>
      </c>
      <c r="H45" s="6" t="s">
        <v>191</v>
      </c>
      <c r="I45" s="6" t="s">
        <v>15</v>
      </c>
      <c r="J45" s="6" t="s">
        <v>202</v>
      </c>
      <c r="K45" s="6" t="s">
        <v>38</v>
      </c>
      <c r="L45" s="6" t="s">
        <v>78</v>
      </c>
      <c r="M45" s="6" t="s">
        <v>19</v>
      </c>
      <c r="N45" s="6" t="s">
        <v>20</v>
      </c>
    </row>
    <row r="46" spans="1:14" ht="36" x14ac:dyDescent="0.25">
      <c r="A46" s="6" t="s">
        <v>186</v>
      </c>
      <c r="B46" s="6" t="s">
        <v>203</v>
      </c>
      <c r="C46" s="6" t="s">
        <v>11</v>
      </c>
      <c r="D46" s="9" t="s">
        <v>194</v>
      </c>
      <c r="E46" s="6" t="s">
        <v>34</v>
      </c>
      <c r="F46" s="6" t="s">
        <v>204</v>
      </c>
      <c r="G46" s="6">
        <v>5</v>
      </c>
      <c r="H46" s="6" t="s">
        <v>205</v>
      </c>
      <c r="I46" s="6" t="s">
        <v>15</v>
      </c>
      <c r="J46" s="6" t="s">
        <v>206</v>
      </c>
      <c r="K46" s="6" t="s">
        <v>38</v>
      </c>
      <c r="L46" s="6" t="s">
        <v>78</v>
      </c>
      <c r="M46" s="6" t="s">
        <v>19</v>
      </c>
      <c r="N46" s="6" t="s">
        <v>20</v>
      </c>
    </row>
    <row r="47" spans="1:14" ht="48" x14ac:dyDescent="0.25">
      <c r="A47" s="12" t="s">
        <v>186</v>
      </c>
      <c r="B47" s="6" t="s">
        <v>203</v>
      </c>
      <c r="C47" s="6" t="s">
        <v>26</v>
      </c>
      <c r="D47" s="9" t="s">
        <v>194</v>
      </c>
      <c r="E47" s="6" t="s">
        <v>34</v>
      </c>
      <c r="F47" s="6" t="s">
        <v>207</v>
      </c>
      <c r="G47" s="6">
        <v>2</v>
      </c>
      <c r="H47" s="12" t="s">
        <v>208</v>
      </c>
      <c r="I47" s="6" t="s">
        <v>15</v>
      </c>
      <c r="J47" s="6" t="s">
        <v>209</v>
      </c>
      <c r="K47" s="6" t="s">
        <v>38</v>
      </c>
      <c r="L47" s="6" t="s">
        <v>25</v>
      </c>
      <c r="M47" s="6" t="s">
        <v>19</v>
      </c>
      <c r="N47" s="6" t="s">
        <v>20</v>
      </c>
    </row>
    <row r="48" spans="1:14" ht="36" x14ac:dyDescent="0.25">
      <c r="A48" s="6" t="s">
        <v>186</v>
      </c>
      <c r="B48" s="6" t="s">
        <v>203</v>
      </c>
      <c r="C48" s="6" t="s">
        <v>21</v>
      </c>
      <c r="D48" s="9" t="s">
        <v>194</v>
      </c>
      <c r="E48" s="6" t="s">
        <v>34</v>
      </c>
      <c r="F48" s="6" t="s">
        <v>210</v>
      </c>
      <c r="G48" s="6">
        <v>5</v>
      </c>
      <c r="H48" s="6" t="s">
        <v>211</v>
      </c>
      <c r="I48" s="6" t="s">
        <v>15</v>
      </c>
      <c r="J48" s="6" t="s">
        <v>212</v>
      </c>
      <c r="K48" s="6" t="s">
        <v>38</v>
      </c>
      <c r="L48" s="6" t="s">
        <v>78</v>
      </c>
      <c r="M48" s="6" t="s">
        <v>19</v>
      </c>
      <c r="N48" s="6" t="s">
        <v>20</v>
      </c>
    </row>
    <row r="49" spans="1:14" ht="48" x14ac:dyDescent="0.25">
      <c r="A49" s="6" t="s">
        <v>186</v>
      </c>
      <c r="B49" s="6" t="s">
        <v>213</v>
      </c>
      <c r="C49" s="6" t="s">
        <v>11</v>
      </c>
      <c r="D49" s="9" t="s">
        <v>194</v>
      </c>
      <c r="E49" s="6" t="s">
        <v>34</v>
      </c>
      <c r="F49" s="6" t="s">
        <v>214</v>
      </c>
      <c r="G49" s="6">
        <v>5</v>
      </c>
      <c r="H49" s="6" t="s">
        <v>215</v>
      </c>
      <c r="I49" s="6" t="s">
        <v>15</v>
      </c>
      <c r="J49" s="6" t="s">
        <v>216</v>
      </c>
      <c r="K49" s="6" t="s">
        <v>38</v>
      </c>
      <c r="L49" s="6" t="s">
        <v>108</v>
      </c>
      <c r="M49" s="6" t="s">
        <v>19</v>
      </c>
      <c r="N49" s="6" t="s">
        <v>20</v>
      </c>
    </row>
    <row r="50" spans="1:14" ht="48" x14ac:dyDescent="0.25">
      <c r="A50" s="6" t="s">
        <v>186</v>
      </c>
      <c r="B50" s="6" t="s">
        <v>213</v>
      </c>
      <c r="C50" s="6" t="s">
        <v>26</v>
      </c>
      <c r="D50" s="9" t="s">
        <v>194</v>
      </c>
      <c r="E50" s="6" t="s">
        <v>34</v>
      </c>
      <c r="F50" s="6" t="s">
        <v>217</v>
      </c>
      <c r="G50" s="6">
        <v>2</v>
      </c>
      <c r="H50" s="6" t="s">
        <v>218</v>
      </c>
      <c r="I50" s="6" t="s">
        <v>15</v>
      </c>
      <c r="J50" s="6" t="s">
        <v>219</v>
      </c>
      <c r="K50" s="6" t="s">
        <v>92</v>
      </c>
      <c r="L50" s="6" t="s">
        <v>108</v>
      </c>
      <c r="M50" s="6" t="s">
        <v>19</v>
      </c>
      <c r="N50" s="6" t="s">
        <v>20</v>
      </c>
    </row>
    <row r="51" spans="1:14" ht="36" x14ac:dyDescent="0.25">
      <c r="A51" s="6" t="s">
        <v>186</v>
      </c>
      <c r="B51" s="6" t="s">
        <v>213</v>
      </c>
      <c r="C51" s="6" t="s">
        <v>21</v>
      </c>
      <c r="D51" s="9" t="s">
        <v>194</v>
      </c>
      <c r="E51" s="6" t="s">
        <v>34</v>
      </c>
      <c r="F51" s="6" t="s">
        <v>220</v>
      </c>
      <c r="G51" s="6">
        <v>5</v>
      </c>
      <c r="H51" s="6" t="s">
        <v>211</v>
      </c>
      <c r="I51" s="6" t="s">
        <v>15</v>
      </c>
      <c r="J51" s="6" t="s">
        <v>221</v>
      </c>
      <c r="K51" s="6" t="s">
        <v>92</v>
      </c>
      <c r="L51" s="6" t="s">
        <v>78</v>
      </c>
      <c r="M51" s="6" t="s">
        <v>19</v>
      </c>
      <c r="N51" s="6" t="s">
        <v>20</v>
      </c>
    </row>
    <row r="52" spans="1:14" ht="48" x14ac:dyDescent="0.25">
      <c r="A52" s="6" t="s">
        <v>186</v>
      </c>
      <c r="B52" s="6" t="s">
        <v>222</v>
      </c>
      <c r="C52" s="6" t="s">
        <v>11</v>
      </c>
      <c r="D52" s="9" t="s">
        <v>194</v>
      </c>
      <c r="E52" s="6" t="s">
        <v>34</v>
      </c>
      <c r="F52" s="6" t="s">
        <v>223</v>
      </c>
      <c r="G52" s="6">
        <v>4</v>
      </c>
      <c r="H52" s="6" t="s">
        <v>224</v>
      </c>
      <c r="I52" s="6" t="s">
        <v>15</v>
      </c>
      <c r="J52" s="6" t="s">
        <v>225</v>
      </c>
      <c r="K52" s="6" t="s">
        <v>38</v>
      </c>
      <c r="L52" s="6" t="s">
        <v>108</v>
      </c>
      <c r="M52" s="6" t="s">
        <v>19</v>
      </c>
      <c r="N52" s="6" t="s">
        <v>20</v>
      </c>
    </row>
    <row r="53" spans="1:14" ht="48" x14ac:dyDescent="0.25">
      <c r="A53" s="6" t="s">
        <v>186</v>
      </c>
      <c r="B53" s="6" t="s">
        <v>222</v>
      </c>
      <c r="C53" s="6" t="s">
        <v>21</v>
      </c>
      <c r="D53" s="9" t="s">
        <v>194</v>
      </c>
      <c r="E53" s="6" t="s">
        <v>34</v>
      </c>
      <c r="F53" s="6" t="s">
        <v>226</v>
      </c>
      <c r="G53" s="6">
        <v>2</v>
      </c>
      <c r="H53" s="6" t="s">
        <v>227</v>
      </c>
      <c r="I53" s="6" t="s">
        <v>15</v>
      </c>
      <c r="J53" s="6" t="s">
        <v>228</v>
      </c>
      <c r="K53" s="6" t="s">
        <v>92</v>
      </c>
      <c r="L53" s="6" t="s">
        <v>108</v>
      </c>
      <c r="M53" s="6" t="s">
        <v>19</v>
      </c>
      <c r="N53" s="6" t="s">
        <v>20</v>
      </c>
    </row>
    <row r="54" spans="1:14" ht="36" x14ac:dyDescent="0.25">
      <c r="A54" s="6" t="s">
        <v>186</v>
      </c>
      <c r="B54" s="6" t="s">
        <v>229</v>
      </c>
      <c r="C54" s="6" t="s">
        <v>11</v>
      </c>
      <c r="D54" s="9" t="s">
        <v>194</v>
      </c>
      <c r="E54" s="6" t="s">
        <v>34</v>
      </c>
      <c r="F54" s="6" t="s">
        <v>230</v>
      </c>
      <c r="G54" s="6">
        <v>6</v>
      </c>
      <c r="H54" s="6" t="s">
        <v>231</v>
      </c>
      <c r="I54" s="6" t="s">
        <v>15</v>
      </c>
      <c r="J54" s="6" t="s">
        <v>232</v>
      </c>
      <c r="K54" s="6" t="s">
        <v>38</v>
      </c>
      <c r="L54" s="6" t="s">
        <v>78</v>
      </c>
      <c r="M54" s="6" t="s">
        <v>19</v>
      </c>
      <c r="N54" s="6" t="s">
        <v>20</v>
      </c>
    </row>
    <row r="55" spans="1:14" ht="36" x14ac:dyDescent="0.25">
      <c r="A55" s="6" t="s">
        <v>186</v>
      </c>
      <c r="B55" s="6" t="s">
        <v>229</v>
      </c>
      <c r="C55" s="6" t="s">
        <v>21</v>
      </c>
      <c r="D55" s="9" t="s">
        <v>194</v>
      </c>
      <c r="E55" s="6" t="s">
        <v>34</v>
      </c>
      <c r="F55" s="6" t="s">
        <v>233</v>
      </c>
      <c r="G55" s="6">
        <v>3</v>
      </c>
      <c r="H55" s="6" t="s">
        <v>234</v>
      </c>
      <c r="I55" s="6" t="s">
        <v>15</v>
      </c>
      <c r="J55" s="6" t="s">
        <v>235</v>
      </c>
      <c r="K55" s="6" t="s">
        <v>92</v>
      </c>
      <c r="L55" s="6" t="s">
        <v>78</v>
      </c>
      <c r="M55" s="6" t="s">
        <v>19</v>
      </c>
      <c r="N55" s="6" t="s">
        <v>20</v>
      </c>
    </row>
    <row r="56" spans="1:14" ht="36" x14ac:dyDescent="0.25">
      <c r="A56" s="6" t="s">
        <v>186</v>
      </c>
      <c r="B56" s="6" t="s">
        <v>236</v>
      </c>
      <c r="C56" s="6" t="s">
        <v>11</v>
      </c>
      <c r="D56" s="6" t="s">
        <v>194</v>
      </c>
      <c r="E56" s="6" t="s">
        <v>34</v>
      </c>
      <c r="F56" s="6" t="s">
        <v>237</v>
      </c>
      <c r="G56" s="6">
        <v>4</v>
      </c>
      <c r="H56" s="6" t="s">
        <v>238</v>
      </c>
      <c r="I56" s="6" t="s">
        <v>15</v>
      </c>
      <c r="J56" s="6" t="s">
        <v>239</v>
      </c>
      <c r="K56" s="6" t="s">
        <v>92</v>
      </c>
      <c r="L56" s="6" t="s">
        <v>78</v>
      </c>
      <c r="M56" s="6" t="s">
        <v>19</v>
      </c>
      <c r="N56" s="6" t="s">
        <v>20</v>
      </c>
    </row>
    <row r="57" spans="1:14" ht="36.75" thickBot="1" x14ac:dyDescent="0.3">
      <c r="A57" s="10" t="s">
        <v>186</v>
      </c>
      <c r="B57" s="10" t="s">
        <v>236</v>
      </c>
      <c r="C57" s="10" t="s">
        <v>21</v>
      </c>
      <c r="D57" s="10" t="s">
        <v>194</v>
      </c>
      <c r="E57" s="10" t="s">
        <v>34</v>
      </c>
      <c r="F57" s="10" t="s">
        <v>240</v>
      </c>
      <c r="G57" s="10">
        <v>4</v>
      </c>
      <c r="H57" s="10" t="s">
        <v>241</v>
      </c>
      <c r="I57" s="10" t="s">
        <v>15</v>
      </c>
      <c r="J57" s="10" t="s">
        <v>242</v>
      </c>
      <c r="K57" s="10" t="s">
        <v>92</v>
      </c>
      <c r="L57" s="10" t="s">
        <v>78</v>
      </c>
      <c r="M57" s="10" t="s">
        <v>19</v>
      </c>
      <c r="N57" s="10" t="s">
        <v>20</v>
      </c>
    </row>
    <row r="58" spans="1:14" ht="36" x14ac:dyDescent="0.25">
      <c r="A58" s="6" t="s">
        <v>243</v>
      </c>
      <c r="B58" s="6" t="s">
        <v>244</v>
      </c>
      <c r="C58" s="6" t="s">
        <v>245</v>
      </c>
      <c r="D58" s="6" t="s">
        <v>246</v>
      </c>
      <c r="E58" s="6" t="s">
        <v>44</v>
      </c>
      <c r="F58" s="6" t="s">
        <v>247</v>
      </c>
      <c r="G58" s="6">
        <v>9</v>
      </c>
      <c r="H58" s="6">
        <f>- (3.932)</f>
        <v>-3.9319999999999999</v>
      </c>
      <c r="I58" s="6" t="s">
        <v>15</v>
      </c>
      <c r="J58" s="6" t="s">
        <v>248</v>
      </c>
      <c r="K58" s="6" t="s">
        <v>47</v>
      </c>
      <c r="L58" s="6" t="s">
        <v>249</v>
      </c>
      <c r="M58" s="6" t="s">
        <v>49</v>
      </c>
      <c r="N58" s="6" t="s">
        <v>39</v>
      </c>
    </row>
    <row r="59" spans="1:14" ht="36" x14ac:dyDescent="0.25">
      <c r="A59" s="6" t="s">
        <v>250</v>
      </c>
      <c r="B59" s="6" t="s">
        <v>251</v>
      </c>
      <c r="C59" s="6" t="s">
        <v>252</v>
      </c>
      <c r="D59" s="6" t="s">
        <v>253</v>
      </c>
      <c r="E59" s="6" t="s">
        <v>254</v>
      </c>
      <c r="F59" s="6" t="s">
        <v>255</v>
      </c>
      <c r="G59" s="6">
        <v>9</v>
      </c>
      <c r="H59" s="6" t="s">
        <v>256</v>
      </c>
      <c r="I59" s="6" t="s">
        <v>15</v>
      </c>
      <c r="J59" s="13" t="s">
        <v>257</v>
      </c>
      <c r="K59" s="6" t="s">
        <v>258</v>
      </c>
      <c r="L59" s="6" t="s">
        <v>259</v>
      </c>
      <c r="M59" s="6" t="s">
        <v>49</v>
      </c>
      <c r="N59" s="6" t="s">
        <v>39</v>
      </c>
    </row>
    <row r="60" spans="1:14" ht="36" x14ac:dyDescent="0.25">
      <c r="A60" s="6" t="s">
        <v>250</v>
      </c>
      <c r="B60" s="6" t="s">
        <v>251</v>
      </c>
      <c r="C60" s="6" t="s">
        <v>260</v>
      </c>
      <c r="D60" s="6" t="s">
        <v>253</v>
      </c>
      <c r="E60" s="6" t="s">
        <v>254</v>
      </c>
      <c r="F60" s="6" t="s">
        <v>261</v>
      </c>
      <c r="G60" s="6">
        <v>12</v>
      </c>
      <c r="H60" s="6" t="s">
        <v>262</v>
      </c>
      <c r="I60" s="6" t="s">
        <v>15</v>
      </c>
      <c r="J60" s="13" t="s">
        <v>257</v>
      </c>
      <c r="K60" s="6" t="s">
        <v>263</v>
      </c>
      <c r="L60" s="6" t="s">
        <v>259</v>
      </c>
      <c r="M60" s="6" t="s">
        <v>49</v>
      </c>
      <c r="N60" s="6" t="s">
        <v>39</v>
      </c>
    </row>
    <row r="61" spans="1:14" ht="36" x14ac:dyDescent="0.25">
      <c r="A61" s="6" t="s">
        <v>250</v>
      </c>
      <c r="B61" s="6" t="s">
        <v>251</v>
      </c>
      <c r="C61" s="6" t="s">
        <v>264</v>
      </c>
      <c r="D61" s="6" t="s">
        <v>253</v>
      </c>
      <c r="E61" s="6" t="s">
        <v>254</v>
      </c>
      <c r="F61" s="6" t="s">
        <v>265</v>
      </c>
      <c r="G61" s="6">
        <v>17</v>
      </c>
      <c r="H61" s="6" t="s">
        <v>266</v>
      </c>
      <c r="I61" s="6" t="s">
        <v>15</v>
      </c>
      <c r="J61" s="13" t="s">
        <v>257</v>
      </c>
      <c r="K61" s="6" t="s">
        <v>258</v>
      </c>
      <c r="L61" s="6" t="s">
        <v>259</v>
      </c>
      <c r="M61" s="6" t="s">
        <v>49</v>
      </c>
      <c r="N61" s="6" t="s">
        <v>39</v>
      </c>
    </row>
    <row r="62" spans="1:14" ht="36" x14ac:dyDescent="0.25">
      <c r="A62" s="6" t="s">
        <v>250</v>
      </c>
      <c r="B62" s="6" t="s">
        <v>251</v>
      </c>
      <c r="C62" s="6" t="s">
        <v>267</v>
      </c>
      <c r="D62" s="6" t="s">
        <v>253</v>
      </c>
      <c r="E62" s="6" t="s">
        <v>254</v>
      </c>
      <c r="F62" s="6" t="s">
        <v>268</v>
      </c>
      <c r="G62" s="6">
        <v>6</v>
      </c>
      <c r="H62" s="6" t="s">
        <v>269</v>
      </c>
      <c r="I62" s="6" t="s">
        <v>15</v>
      </c>
      <c r="J62" s="13" t="s">
        <v>257</v>
      </c>
      <c r="K62" s="6" t="s">
        <v>258</v>
      </c>
      <c r="L62" s="6" t="s">
        <v>259</v>
      </c>
      <c r="M62" s="6" t="s">
        <v>49</v>
      </c>
      <c r="N62" s="6" t="s">
        <v>39</v>
      </c>
    </row>
    <row r="63" spans="1:14" ht="84" x14ac:dyDescent="0.25">
      <c r="A63" s="6" t="s">
        <v>60</v>
      </c>
      <c r="B63" s="6" t="s">
        <v>270</v>
      </c>
      <c r="C63" s="6" t="s">
        <v>68</v>
      </c>
      <c r="D63" s="6" t="s">
        <v>253</v>
      </c>
      <c r="E63" s="6" t="s">
        <v>271</v>
      </c>
      <c r="F63" s="6" t="s">
        <v>272</v>
      </c>
      <c r="G63" s="6">
        <v>9</v>
      </c>
      <c r="H63" s="6" t="s">
        <v>36</v>
      </c>
      <c r="I63" s="6" t="s">
        <v>66</v>
      </c>
      <c r="J63" s="6" t="s">
        <v>273</v>
      </c>
      <c r="K63" s="6" t="s">
        <v>17</v>
      </c>
      <c r="L63" s="6" t="s">
        <v>274</v>
      </c>
      <c r="M63" s="6" t="s">
        <v>19</v>
      </c>
      <c r="N63" s="6" t="s">
        <v>20</v>
      </c>
    </row>
    <row r="64" spans="1:14" ht="84" x14ac:dyDescent="0.25">
      <c r="A64" s="6" t="s">
        <v>60</v>
      </c>
      <c r="B64" s="6" t="s">
        <v>270</v>
      </c>
      <c r="C64" s="6" t="s">
        <v>61</v>
      </c>
      <c r="D64" s="6" t="s">
        <v>253</v>
      </c>
      <c r="E64" s="6" t="s">
        <v>271</v>
      </c>
      <c r="F64" s="6" t="s">
        <v>275</v>
      </c>
      <c r="G64" s="6">
        <v>6</v>
      </c>
      <c r="H64" s="6" t="s">
        <v>276</v>
      </c>
      <c r="I64" s="6" t="s">
        <v>66</v>
      </c>
      <c r="J64" s="6" t="s">
        <v>107</v>
      </c>
      <c r="K64" s="6" t="s">
        <v>17</v>
      </c>
      <c r="L64" s="6" t="s">
        <v>108</v>
      </c>
      <c r="M64" s="6" t="s">
        <v>19</v>
      </c>
      <c r="N64" s="6" t="s">
        <v>20</v>
      </c>
    </row>
    <row r="65" spans="1:14" ht="60" x14ac:dyDescent="0.25">
      <c r="A65" s="6" t="s">
        <v>243</v>
      </c>
      <c r="B65" s="6" t="s">
        <v>251</v>
      </c>
      <c r="C65" s="6" t="s">
        <v>277</v>
      </c>
      <c r="D65" s="6" t="s">
        <v>278</v>
      </c>
      <c r="E65" s="6" t="s">
        <v>44</v>
      </c>
      <c r="F65" s="6" t="s">
        <v>279</v>
      </c>
      <c r="G65" s="6">
        <v>3</v>
      </c>
      <c r="H65" s="6">
        <f>- (1.346)</f>
        <v>-1.3460000000000001</v>
      </c>
      <c r="I65" s="6" t="s">
        <v>15</v>
      </c>
      <c r="J65" s="6" t="s">
        <v>280</v>
      </c>
      <c r="K65" s="6" t="s">
        <v>59</v>
      </c>
      <c r="L65" s="6" t="s">
        <v>249</v>
      </c>
      <c r="M65" s="6" t="s">
        <v>49</v>
      </c>
      <c r="N65" s="6" t="s">
        <v>39</v>
      </c>
    </row>
    <row r="66" spans="1:14" ht="36" x14ac:dyDescent="0.25">
      <c r="A66" s="6" t="s">
        <v>243</v>
      </c>
      <c r="B66" s="6" t="s">
        <v>251</v>
      </c>
      <c r="C66" s="6" t="s">
        <v>281</v>
      </c>
      <c r="D66" s="6" t="s">
        <v>282</v>
      </c>
      <c r="E66" s="6" t="s">
        <v>44</v>
      </c>
      <c r="F66" s="6" t="s">
        <v>132</v>
      </c>
      <c r="G66" s="6">
        <v>11</v>
      </c>
      <c r="H66" s="6">
        <f>- (14.136)</f>
        <v>-14.135999999999999</v>
      </c>
      <c r="I66" s="6" t="s">
        <v>15</v>
      </c>
      <c r="J66" s="6" t="s">
        <v>283</v>
      </c>
      <c r="K66" s="6" t="s">
        <v>59</v>
      </c>
      <c r="L66" s="6" t="s">
        <v>259</v>
      </c>
      <c r="M66" s="6" t="s">
        <v>49</v>
      </c>
      <c r="N66" s="6" t="s">
        <v>39</v>
      </c>
    </row>
    <row r="67" spans="1:14" ht="48" x14ac:dyDescent="0.25">
      <c r="A67" s="6" t="s">
        <v>243</v>
      </c>
      <c r="B67" s="6" t="s">
        <v>251</v>
      </c>
      <c r="C67" s="6" t="s">
        <v>284</v>
      </c>
      <c r="D67" s="6" t="s">
        <v>253</v>
      </c>
      <c r="E67" s="6" t="s">
        <v>44</v>
      </c>
      <c r="F67" s="6" t="s">
        <v>285</v>
      </c>
      <c r="G67" s="6">
        <v>4</v>
      </c>
      <c r="H67" s="6">
        <f>- (3.771)</f>
        <v>-3.7709999999999999</v>
      </c>
      <c r="I67" s="6" t="s">
        <v>15</v>
      </c>
      <c r="J67" s="6" t="s">
        <v>286</v>
      </c>
      <c r="K67" s="6" t="s">
        <v>59</v>
      </c>
      <c r="L67" s="6" t="s">
        <v>249</v>
      </c>
      <c r="M67" s="6" t="s">
        <v>49</v>
      </c>
      <c r="N67" s="6" t="s">
        <v>39</v>
      </c>
    </row>
    <row r="68" spans="1:14" ht="36" x14ac:dyDescent="0.25">
      <c r="A68" s="6" t="s">
        <v>243</v>
      </c>
      <c r="B68" s="6" t="s">
        <v>251</v>
      </c>
      <c r="C68" s="6" t="s">
        <v>287</v>
      </c>
      <c r="D68" s="6" t="s">
        <v>253</v>
      </c>
      <c r="E68" s="6" t="s">
        <v>44</v>
      </c>
      <c r="F68" s="6" t="s">
        <v>288</v>
      </c>
      <c r="G68" s="6">
        <v>6</v>
      </c>
      <c r="H68" s="6">
        <f>- (6.52)</f>
        <v>-6.52</v>
      </c>
      <c r="I68" s="6" t="s">
        <v>15</v>
      </c>
      <c r="J68" s="6" t="s">
        <v>289</v>
      </c>
      <c r="K68" s="6" t="s">
        <v>59</v>
      </c>
      <c r="L68" s="6" t="s">
        <v>249</v>
      </c>
      <c r="M68" s="6" t="s">
        <v>49</v>
      </c>
      <c r="N68" s="6" t="s">
        <v>39</v>
      </c>
    </row>
    <row r="69" spans="1:14" ht="60" x14ac:dyDescent="0.25">
      <c r="A69" s="6" t="s">
        <v>243</v>
      </c>
      <c r="B69" s="6" t="s">
        <v>251</v>
      </c>
      <c r="C69" s="6" t="s">
        <v>290</v>
      </c>
      <c r="D69" s="6" t="s">
        <v>253</v>
      </c>
      <c r="E69" s="6" t="s">
        <v>44</v>
      </c>
      <c r="F69" s="6" t="s">
        <v>291</v>
      </c>
      <c r="G69" s="6">
        <v>3</v>
      </c>
      <c r="H69" s="6">
        <f>- (415)</f>
        <v>-415</v>
      </c>
      <c r="I69" s="6" t="s">
        <v>15</v>
      </c>
      <c r="J69" s="6" t="s">
        <v>292</v>
      </c>
      <c r="K69" s="6" t="s">
        <v>59</v>
      </c>
      <c r="L69" s="6" t="s">
        <v>249</v>
      </c>
      <c r="M69" s="6" t="s">
        <v>49</v>
      </c>
      <c r="N69" s="6" t="s">
        <v>39</v>
      </c>
    </row>
    <row r="70" spans="1:14" ht="60" x14ac:dyDescent="0.25">
      <c r="A70" s="6" t="s">
        <v>243</v>
      </c>
      <c r="B70" s="6" t="s">
        <v>251</v>
      </c>
      <c r="C70" s="6" t="s">
        <v>84</v>
      </c>
      <c r="D70" s="6" t="s">
        <v>253</v>
      </c>
      <c r="E70" s="6" t="s">
        <v>44</v>
      </c>
      <c r="F70" s="6" t="s">
        <v>293</v>
      </c>
      <c r="G70" s="6">
        <v>4</v>
      </c>
      <c r="H70" s="6">
        <f>- (2.273)</f>
        <v>-2.2730000000000001</v>
      </c>
      <c r="I70" s="6" t="s">
        <v>15</v>
      </c>
      <c r="J70" s="6" t="s">
        <v>294</v>
      </c>
      <c r="K70" s="6" t="s">
        <v>295</v>
      </c>
      <c r="L70" s="6" t="s">
        <v>48</v>
      </c>
      <c r="M70" s="6" t="s">
        <v>49</v>
      </c>
      <c r="N70" s="6" t="s">
        <v>39</v>
      </c>
    </row>
    <row r="71" spans="1:14" ht="48" x14ac:dyDescent="0.25">
      <c r="A71" s="6" t="s">
        <v>243</v>
      </c>
      <c r="B71" s="6" t="s">
        <v>296</v>
      </c>
      <c r="C71" s="6" t="s">
        <v>68</v>
      </c>
      <c r="D71" s="6" t="s">
        <v>297</v>
      </c>
      <c r="E71" s="6" t="s">
        <v>44</v>
      </c>
      <c r="F71" s="6" t="s">
        <v>128</v>
      </c>
      <c r="G71" s="6">
        <v>8</v>
      </c>
      <c r="H71" s="6">
        <f>- (2.508)</f>
        <v>-2.508</v>
      </c>
      <c r="I71" s="6" t="s">
        <v>15</v>
      </c>
      <c r="J71" s="6" t="s">
        <v>298</v>
      </c>
      <c r="K71" s="6" t="s">
        <v>59</v>
      </c>
      <c r="L71" s="6" t="s">
        <v>249</v>
      </c>
      <c r="M71" s="6" t="s">
        <v>49</v>
      </c>
      <c r="N71" s="6" t="s">
        <v>39</v>
      </c>
    </row>
    <row r="72" spans="1:14" ht="48" x14ac:dyDescent="0.25">
      <c r="A72" s="6" t="s">
        <v>299</v>
      </c>
      <c r="B72" s="6" t="s">
        <v>300</v>
      </c>
      <c r="C72" s="6" t="s">
        <v>301</v>
      </c>
      <c r="D72" s="6" t="s">
        <v>278</v>
      </c>
      <c r="E72" s="6" t="s">
        <v>302</v>
      </c>
      <c r="F72" s="6" t="s">
        <v>128</v>
      </c>
      <c r="G72" s="6">
        <v>8</v>
      </c>
      <c r="H72" s="6" t="s">
        <v>303</v>
      </c>
      <c r="I72" s="6" t="s">
        <v>15</v>
      </c>
      <c r="J72" s="6" t="s">
        <v>304</v>
      </c>
      <c r="K72" s="6" t="s">
        <v>47</v>
      </c>
      <c r="L72" s="6" t="s">
        <v>108</v>
      </c>
      <c r="M72" s="6" t="s">
        <v>19</v>
      </c>
      <c r="N72" s="6" t="s">
        <v>20</v>
      </c>
    </row>
    <row r="73" spans="1:14" ht="36" x14ac:dyDescent="0.25">
      <c r="A73" s="6" t="s">
        <v>243</v>
      </c>
      <c r="B73" s="6" t="s">
        <v>305</v>
      </c>
      <c r="C73" s="6" t="s">
        <v>281</v>
      </c>
      <c r="D73" s="6" t="s">
        <v>253</v>
      </c>
      <c r="E73" s="6" t="s">
        <v>44</v>
      </c>
      <c r="F73" s="6" t="s">
        <v>306</v>
      </c>
      <c r="G73" s="6">
        <v>13</v>
      </c>
      <c r="H73" s="6">
        <f>- (16.355)</f>
        <v>-16.355</v>
      </c>
      <c r="I73" s="6" t="s">
        <v>15</v>
      </c>
      <c r="J73" s="6" t="s">
        <v>307</v>
      </c>
      <c r="K73" s="6" t="s">
        <v>59</v>
      </c>
      <c r="L73" s="6" t="s">
        <v>259</v>
      </c>
      <c r="M73" s="6" t="s">
        <v>49</v>
      </c>
      <c r="N73" s="6" t="s">
        <v>39</v>
      </c>
    </row>
    <row r="74" spans="1:14" ht="36" x14ac:dyDescent="0.25">
      <c r="A74" s="6" t="s">
        <v>243</v>
      </c>
      <c r="B74" s="6" t="s">
        <v>308</v>
      </c>
      <c r="C74" s="6" t="s">
        <v>287</v>
      </c>
      <c r="D74" s="6" t="s">
        <v>253</v>
      </c>
      <c r="E74" s="6" t="s">
        <v>44</v>
      </c>
      <c r="F74" s="6" t="s">
        <v>309</v>
      </c>
      <c r="G74" s="6">
        <v>9</v>
      </c>
      <c r="H74" s="6">
        <f>- (7.141)</f>
        <v>-7.141</v>
      </c>
      <c r="I74" s="6" t="s">
        <v>15</v>
      </c>
      <c r="J74" s="6" t="s">
        <v>310</v>
      </c>
      <c r="K74" s="6" t="s">
        <v>59</v>
      </c>
      <c r="L74" s="6" t="s">
        <v>249</v>
      </c>
      <c r="M74" s="6" t="s">
        <v>49</v>
      </c>
      <c r="N74" s="6" t="s">
        <v>39</v>
      </c>
    </row>
    <row r="75" spans="1:14" ht="48" x14ac:dyDescent="0.25">
      <c r="A75" s="6" t="s">
        <v>243</v>
      </c>
      <c r="B75" s="6" t="s">
        <v>308</v>
      </c>
      <c r="C75" s="6" t="s">
        <v>284</v>
      </c>
      <c r="D75" s="6" t="s">
        <v>253</v>
      </c>
      <c r="E75" s="6" t="s">
        <v>44</v>
      </c>
      <c r="F75" s="6" t="s">
        <v>311</v>
      </c>
      <c r="G75" s="6">
        <v>5</v>
      </c>
      <c r="H75" s="6">
        <f>- (3.828)</f>
        <v>-3.8279999999999998</v>
      </c>
      <c r="I75" s="6" t="s">
        <v>15</v>
      </c>
      <c r="J75" s="6" t="s">
        <v>312</v>
      </c>
      <c r="K75" s="6" t="s">
        <v>59</v>
      </c>
      <c r="L75" s="6" t="s">
        <v>249</v>
      </c>
      <c r="M75" s="6" t="s">
        <v>49</v>
      </c>
      <c r="N75" s="6" t="s">
        <v>39</v>
      </c>
    </row>
    <row r="76" spans="1:14" ht="60" x14ac:dyDescent="0.25">
      <c r="A76" s="6" t="s">
        <v>243</v>
      </c>
      <c r="B76" s="6" t="s">
        <v>305</v>
      </c>
      <c r="C76" s="6" t="s">
        <v>84</v>
      </c>
      <c r="D76" s="6" t="s">
        <v>253</v>
      </c>
      <c r="E76" s="6" t="s">
        <v>44</v>
      </c>
      <c r="F76" s="6" t="s">
        <v>313</v>
      </c>
      <c r="G76" s="6">
        <v>3</v>
      </c>
      <c r="H76" s="6">
        <f>- (320)</f>
        <v>-320</v>
      </c>
      <c r="I76" s="6" t="s">
        <v>15</v>
      </c>
      <c r="J76" s="6" t="s">
        <v>314</v>
      </c>
      <c r="K76" s="6" t="s">
        <v>59</v>
      </c>
      <c r="L76" s="6" t="s">
        <v>249</v>
      </c>
      <c r="M76" s="6" t="s">
        <v>49</v>
      </c>
      <c r="N76" s="6" t="s">
        <v>39</v>
      </c>
    </row>
    <row r="77" spans="1:14" ht="36" x14ac:dyDescent="0.25">
      <c r="A77" s="6" t="s">
        <v>243</v>
      </c>
      <c r="B77" s="6" t="s">
        <v>305</v>
      </c>
      <c r="C77" s="6" t="s">
        <v>245</v>
      </c>
      <c r="D77" s="6" t="s">
        <v>253</v>
      </c>
      <c r="E77" s="6" t="s">
        <v>44</v>
      </c>
      <c r="F77" s="6" t="s">
        <v>315</v>
      </c>
      <c r="G77" s="6">
        <v>13</v>
      </c>
      <c r="H77" s="6">
        <f>- (4.905)</f>
        <v>-4.9050000000000002</v>
      </c>
      <c r="I77" s="6" t="s">
        <v>15</v>
      </c>
      <c r="J77" s="6" t="s">
        <v>316</v>
      </c>
      <c r="K77" s="6" t="s">
        <v>59</v>
      </c>
      <c r="L77" s="6" t="s">
        <v>259</v>
      </c>
      <c r="M77" s="6" t="s">
        <v>49</v>
      </c>
      <c r="N77" s="6" t="s">
        <v>39</v>
      </c>
    </row>
    <row r="78" spans="1:14" ht="48" x14ac:dyDescent="0.25">
      <c r="A78" s="6" t="s">
        <v>299</v>
      </c>
      <c r="B78" s="6" t="s">
        <v>317</v>
      </c>
      <c r="C78" s="6" t="s">
        <v>301</v>
      </c>
      <c r="D78" s="6" t="s">
        <v>278</v>
      </c>
      <c r="E78" s="6" t="s">
        <v>318</v>
      </c>
      <c r="F78" s="6" t="s">
        <v>139</v>
      </c>
      <c r="G78" s="6">
        <v>10</v>
      </c>
      <c r="H78" s="6" t="s">
        <v>319</v>
      </c>
      <c r="I78" s="6" t="s">
        <v>15</v>
      </c>
      <c r="J78" s="6" t="s">
        <v>137</v>
      </c>
      <c r="K78" s="6" t="s">
        <v>47</v>
      </c>
      <c r="L78" s="6" t="s">
        <v>108</v>
      </c>
      <c r="M78" s="6" t="s">
        <v>19</v>
      </c>
      <c r="N78" s="6" t="s">
        <v>20</v>
      </c>
    </row>
    <row r="79" spans="1:14" ht="84" x14ac:dyDescent="0.25">
      <c r="A79" s="6" t="s">
        <v>60</v>
      </c>
      <c r="B79" s="6" t="s">
        <v>317</v>
      </c>
      <c r="C79" s="6" t="s">
        <v>68</v>
      </c>
      <c r="D79" s="6" t="s">
        <v>253</v>
      </c>
      <c r="E79" s="6" t="s">
        <v>271</v>
      </c>
      <c r="F79" s="6" t="s">
        <v>320</v>
      </c>
      <c r="G79" s="6">
        <v>7</v>
      </c>
      <c r="H79" s="6" t="s">
        <v>36</v>
      </c>
      <c r="I79" s="6" t="s">
        <v>66</v>
      </c>
      <c r="J79" s="6" t="s">
        <v>273</v>
      </c>
      <c r="K79" s="6" t="s">
        <v>17</v>
      </c>
      <c r="L79" s="6" t="s">
        <v>78</v>
      </c>
      <c r="M79" s="6" t="s">
        <v>19</v>
      </c>
      <c r="N79" s="6" t="s">
        <v>20</v>
      </c>
    </row>
    <row r="80" spans="1:14" ht="84" x14ac:dyDescent="0.25">
      <c r="A80" s="6" t="s">
        <v>60</v>
      </c>
      <c r="B80" s="6" t="s">
        <v>317</v>
      </c>
      <c r="C80" s="6" t="s">
        <v>61</v>
      </c>
      <c r="D80" s="6" t="s">
        <v>253</v>
      </c>
      <c r="E80" s="6" t="s">
        <v>321</v>
      </c>
      <c r="F80" s="6" t="s">
        <v>322</v>
      </c>
      <c r="G80" s="6">
        <v>4</v>
      </c>
      <c r="H80" s="6" t="s">
        <v>36</v>
      </c>
      <c r="I80" s="6" t="s">
        <v>323</v>
      </c>
      <c r="J80" s="6" t="s">
        <v>324</v>
      </c>
      <c r="K80" s="6" t="s">
        <v>17</v>
      </c>
      <c r="L80" s="6" t="s">
        <v>108</v>
      </c>
      <c r="M80" s="6" t="s">
        <v>19</v>
      </c>
      <c r="N80" s="6" t="s">
        <v>20</v>
      </c>
    </row>
    <row r="81" spans="1:14" ht="36.75" thickBot="1" x14ac:dyDescent="0.3">
      <c r="A81" s="6" t="s">
        <v>243</v>
      </c>
      <c r="B81" s="6" t="s">
        <v>325</v>
      </c>
      <c r="C81" s="6" t="s">
        <v>326</v>
      </c>
      <c r="D81" s="6" t="s">
        <v>253</v>
      </c>
      <c r="E81" s="10" t="s">
        <v>44</v>
      </c>
      <c r="F81" s="6" t="s">
        <v>327</v>
      </c>
      <c r="G81" s="6">
        <v>3</v>
      </c>
      <c r="H81" s="6">
        <f>- (555)</f>
        <v>-555</v>
      </c>
      <c r="I81" s="6" t="s">
        <v>15</v>
      </c>
      <c r="J81" s="6" t="s">
        <v>328</v>
      </c>
      <c r="K81" s="6" t="s">
        <v>59</v>
      </c>
      <c r="L81" s="6" t="s">
        <v>249</v>
      </c>
      <c r="M81" s="6" t="s">
        <v>49</v>
      </c>
      <c r="N81" s="10" t="s">
        <v>39</v>
      </c>
    </row>
    <row r="82" spans="1:14" ht="48.75" thickBot="1" x14ac:dyDescent="0.3">
      <c r="A82" s="10" t="s">
        <v>31</v>
      </c>
      <c r="B82" s="10" t="s">
        <v>329</v>
      </c>
      <c r="C82" s="10" t="s">
        <v>330</v>
      </c>
      <c r="D82" s="10" t="s">
        <v>33</v>
      </c>
      <c r="E82" s="10" t="s">
        <v>34</v>
      </c>
      <c r="F82" s="10" t="s">
        <v>331</v>
      </c>
      <c r="G82" s="10">
        <v>2</v>
      </c>
      <c r="H82" s="10" t="s">
        <v>36</v>
      </c>
      <c r="I82" s="10" t="s">
        <v>15</v>
      </c>
      <c r="J82" s="10" t="s">
        <v>332</v>
      </c>
      <c r="K82" s="10" t="s">
        <v>38</v>
      </c>
      <c r="L82" s="10" t="s">
        <v>108</v>
      </c>
      <c r="M82" s="10" t="s">
        <v>19</v>
      </c>
      <c r="N82" s="10" t="s">
        <v>39</v>
      </c>
    </row>
    <row r="83" spans="1:14" ht="84" x14ac:dyDescent="0.25">
      <c r="A83" s="6" t="s">
        <v>60</v>
      </c>
      <c r="B83" s="6" t="s">
        <v>333</v>
      </c>
      <c r="C83" s="6" t="s">
        <v>68</v>
      </c>
      <c r="D83" s="6" t="s">
        <v>253</v>
      </c>
      <c r="E83" s="6" t="s">
        <v>334</v>
      </c>
      <c r="F83" s="6" t="s">
        <v>335</v>
      </c>
      <c r="G83" s="6">
        <v>2</v>
      </c>
      <c r="H83" s="6" t="s">
        <v>36</v>
      </c>
      <c r="I83" s="6" t="s">
        <v>66</v>
      </c>
      <c r="J83" s="6" t="s">
        <v>336</v>
      </c>
      <c r="K83" s="6" t="s">
        <v>30</v>
      </c>
      <c r="L83" s="6" t="s">
        <v>249</v>
      </c>
      <c r="M83" s="6" t="s">
        <v>19</v>
      </c>
      <c r="N83" s="6" t="s">
        <v>20</v>
      </c>
    </row>
    <row r="84" spans="1:14" ht="84.75" thickBot="1" x14ac:dyDescent="0.3">
      <c r="A84" s="6" t="s">
        <v>60</v>
      </c>
      <c r="B84" s="7" t="s">
        <v>333</v>
      </c>
      <c r="C84" s="6" t="s">
        <v>61</v>
      </c>
      <c r="D84" s="6" t="s">
        <v>253</v>
      </c>
      <c r="E84" s="10" t="s">
        <v>337</v>
      </c>
      <c r="F84" s="6" t="s">
        <v>338</v>
      </c>
      <c r="G84" s="6">
        <v>2</v>
      </c>
      <c r="H84" s="6" t="s">
        <v>36</v>
      </c>
      <c r="I84" s="6" t="s">
        <v>66</v>
      </c>
      <c r="J84" s="6" t="s">
        <v>339</v>
      </c>
      <c r="K84" s="6" t="s">
        <v>30</v>
      </c>
      <c r="L84" s="7" t="s">
        <v>249</v>
      </c>
      <c r="M84" s="7" t="s">
        <v>19</v>
      </c>
      <c r="N84" s="14" t="s">
        <v>20</v>
      </c>
    </row>
    <row r="85" spans="1:14" ht="36" x14ac:dyDescent="0.25">
      <c r="A85" s="6" t="s">
        <v>340</v>
      </c>
      <c r="B85" s="6" t="s">
        <v>341</v>
      </c>
      <c r="C85" s="6" t="s">
        <v>342</v>
      </c>
      <c r="D85" s="6" t="s">
        <v>343</v>
      </c>
      <c r="E85" s="6" t="s">
        <v>344</v>
      </c>
      <c r="F85" s="6" t="s">
        <v>345</v>
      </c>
      <c r="G85" s="6">
        <v>16</v>
      </c>
      <c r="H85" s="6" t="s">
        <v>346</v>
      </c>
      <c r="I85" s="6" t="s">
        <v>15</v>
      </c>
      <c r="J85" s="6" t="s">
        <v>347</v>
      </c>
      <c r="K85" s="6" t="s">
        <v>47</v>
      </c>
      <c r="L85" s="6" t="s">
        <v>78</v>
      </c>
      <c r="M85" s="6" t="s">
        <v>49</v>
      </c>
      <c r="N85" s="6" t="s">
        <v>348</v>
      </c>
    </row>
    <row r="86" spans="1:14" ht="36" x14ac:dyDescent="0.25">
      <c r="A86" s="6" t="s">
        <v>340</v>
      </c>
      <c r="B86" s="6" t="s">
        <v>341</v>
      </c>
      <c r="C86" s="6" t="s">
        <v>349</v>
      </c>
      <c r="D86" s="6" t="s">
        <v>343</v>
      </c>
      <c r="E86" s="6" t="s">
        <v>344</v>
      </c>
      <c r="F86" s="6" t="s">
        <v>350</v>
      </c>
      <c r="G86" s="6">
        <v>14</v>
      </c>
      <c r="H86" s="6">
        <f>- (40.904)</f>
        <v>-40.904000000000003</v>
      </c>
      <c r="I86" s="6" t="s">
        <v>15</v>
      </c>
      <c r="J86" s="6" t="s">
        <v>351</v>
      </c>
      <c r="K86" s="6" t="s">
        <v>47</v>
      </c>
      <c r="L86" s="6" t="s">
        <v>78</v>
      </c>
      <c r="M86" s="6" t="s">
        <v>49</v>
      </c>
      <c r="N86" s="6" t="s">
        <v>348</v>
      </c>
    </row>
    <row r="87" spans="1:14" ht="36.75" thickBot="1" x14ac:dyDescent="0.3">
      <c r="A87" s="10" t="s">
        <v>340</v>
      </c>
      <c r="B87" s="10" t="s">
        <v>341</v>
      </c>
      <c r="C87" s="10" t="s">
        <v>352</v>
      </c>
      <c r="D87" s="10" t="s">
        <v>343</v>
      </c>
      <c r="E87" s="10" t="s">
        <v>344</v>
      </c>
      <c r="F87" s="10" t="s">
        <v>353</v>
      </c>
      <c r="G87" s="10">
        <v>11</v>
      </c>
      <c r="H87" s="10" t="s">
        <v>36</v>
      </c>
      <c r="I87" s="10" t="s">
        <v>15</v>
      </c>
      <c r="J87" s="10" t="s">
        <v>354</v>
      </c>
      <c r="K87" s="10" t="s">
        <v>355</v>
      </c>
      <c r="L87" s="10" t="s">
        <v>78</v>
      </c>
      <c r="M87" s="10" t="s">
        <v>49</v>
      </c>
      <c r="N87" s="10" t="s">
        <v>348</v>
      </c>
    </row>
    <row r="88" spans="1:14" ht="36" x14ac:dyDescent="0.25">
      <c r="A88" s="6" t="s">
        <v>356</v>
      </c>
      <c r="B88" s="6" t="s">
        <v>357</v>
      </c>
      <c r="C88" s="6" t="s">
        <v>281</v>
      </c>
      <c r="D88" s="6" t="s">
        <v>253</v>
      </c>
      <c r="E88" s="6" t="s">
        <v>44</v>
      </c>
      <c r="F88" s="6" t="s">
        <v>291</v>
      </c>
      <c r="G88" s="6">
        <v>18</v>
      </c>
      <c r="H88" s="6">
        <f>- (10.356)</f>
        <v>-10.356</v>
      </c>
      <c r="I88" s="6" t="s">
        <v>15</v>
      </c>
      <c r="J88" s="6" t="s">
        <v>358</v>
      </c>
      <c r="K88" s="6" t="s">
        <v>59</v>
      </c>
      <c r="L88" s="6" t="s">
        <v>249</v>
      </c>
      <c r="M88" s="6" t="s">
        <v>49</v>
      </c>
      <c r="N88" s="6" t="s">
        <v>39</v>
      </c>
    </row>
    <row r="89" spans="1:14" ht="36" x14ac:dyDescent="0.25">
      <c r="A89" s="6" t="s">
        <v>356</v>
      </c>
      <c r="B89" s="6" t="s">
        <v>357</v>
      </c>
      <c r="C89" s="6" t="s">
        <v>53</v>
      </c>
      <c r="D89" s="6" t="s">
        <v>246</v>
      </c>
      <c r="E89" s="6" t="s">
        <v>44</v>
      </c>
      <c r="F89" s="6" t="s">
        <v>359</v>
      </c>
      <c r="G89" s="6">
        <v>4</v>
      </c>
      <c r="H89" s="6">
        <f>- (1.812)</f>
        <v>-1.8120000000000001</v>
      </c>
      <c r="I89" s="6" t="s">
        <v>15</v>
      </c>
      <c r="J89" s="6" t="s">
        <v>283</v>
      </c>
      <c r="K89" s="6" t="s">
        <v>59</v>
      </c>
      <c r="L89" s="6" t="s">
        <v>249</v>
      </c>
      <c r="M89" s="6" t="s">
        <v>49</v>
      </c>
      <c r="N89" s="6" t="s">
        <v>39</v>
      </c>
    </row>
    <row r="90" spans="1:14" ht="48" x14ac:dyDescent="0.25">
      <c r="A90" s="6" t="s">
        <v>360</v>
      </c>
      <c r="B90" s="6" t="s">
        <v>357</v>
      </c>
      <c r="C90" s="6" t="s">
        <v>79</v>
      </c>
      <c r="D90" s="6" t="s">
        <v>253</v>
      </c>
      <c r="E90" s="6" t="s">
        <v>34</v>
      </c>
      <c r="F90" s="6" t="s">
        <v>361</v>
      </c>
      <c r="G90" s="6">
        <v>2</v>
      </c>
      <c r="H90" s="6" t="s">
        <v>36</v>
      </c>
      <c r="I90" s="6" t="s">
        <v>15</v>
      </c>
      <c r="J90" s="6" t="s">
        <v>362</v>
      </c>
      <c r="K90" s="6" t="s">
        <v>38</v>
      </c>
      <c r="L90" s="6" t="s">
        <v>25</v>
      </c>
      <c r="M90" s="6" t="s">
        <v>19</v>
      </c>
      <c r="N90" s="6" t="s">
        <v>20</v>
      </c>
    </row>
    <row r="91" spans="1:14" ht="48" x14ac:dyDescent="0.25">
      <c r="A91" s="6" t="s">
        <v>360</v>
      </c>
      <c r="B91" s="6" t="s">
        <v>357</v>
      </c>
      <c r="C91" s="6" t="s">
        <v>363</v>
      </c>
      <c r="D91" s="6" t="s">
        <v>253</v>
      </c>
      <c r="E91" s="6" t="s">
        <v>34</v>
      </c>
      <c r="F91" s="6" t="s">
        <v>364</v>
      </c>
      <c r="G91" s="6">
        <v>3</v>
      </c>
      <c r="H91" s="6" t="s">
        <v>36</v>
      </c>
      <c r="I91" s="6" t="s">
        <v>15</v>
      </c>
      <c r="J91" s="6" t="s">
        <v>365</v>
      </c>
      <c r="K91" s="6" t="s">
        <v>92</v>
      </c>
      <c r="L91" s="6" t="s">
        <v>25</v>
      </c>
      <c r="M91" s="6" t="s">
        <v>19</v>
      </c>
      <c r="N91" s="6" t="s">
        <v>20</v>
      </c>
    </row>
    <row r="92" spans="1:14" ht="48" x14ac:dyDescent="0.25">
      <c r="A92" s="6" t="s">
        <v>360</v>
      </c>
      <c r="B92" s="6" t="s">
        <v>357</v>
      </c>
      <c r="C92" s="6" t="s">
        <v>73</v>
      </c>
      <c r="D92" s="6" t="s">
        <v>253</v>
      </c>
      <c r="E92" s="6" t="s">
        <v>34</v>
      </c>
      <c r="F92" s="6" t="s">
        <v>366</v>
      </c>
      <c r="G92" s="6">
        <v>5</v>
      </c>
      <c r="H92" s="6" t="s">
        <v>36</v>
      </c>
      <c r="I92" s="6" t="s">
        <v>15</v>
      </c>
      <c r="J92" s="6" t="s">
        <v>367</v>
      </c>
      <c r="K92" s="6" t="s">
        <v>368</v>
      </c>
      <c r="L92" s="7" t="s">
        <v>108</v>
      </c>
      <c r="M92" s="6" t="s">
        <v>19</v>
      </c>
      <c r="N92" s="6" t="s">
        <v>20</v>
      </c>
    </row>
    <row r="93" spans="1:14" ht="48" x14ac:dyDescent="0.25">
      <c r="A93" s="6" t="s">
        <v>360</v>
      </c>
      <c r="B93" s="6" t="s">
        <v>357</v>
      </c>
      <c r="C93" s="6" t="s">
        <v>369</v>
      </c>
      <c r="D93" s="6" t="s">
        <v>253</v>
      </c>
      <c r="E93" s="6" t="s">
        <v>34</v>
      </c>
      <c r="F93" s="6" t="s">
        <v>370</v>
      </c>
      <c r="G93" s="6">
        <v>3</v>
      </c>
      <c r="H93" s="6" t="s">
        <v>36</v>
      </c>
      <c r="I93" s="6" t="s">
        <v>15</v>
      </c>
      <c r="J93" s="6" t="s">
        <v>371</v>
      </c>
      <c r="K93" s="6" t="s">
        <v>38</v>
      </c>
      <c r="L93" s="6" t="s">
        <v>25</v>
      </c>
      <c r="M93" s="6" t="s">
        <v>19</v>
      </c>
      <c r="N93" s="6" t="s">
        <v>20</v>
      </c>
    </row>
    <row r="94" spans="1:14" ht="48" x14ac:dyDescent="0.25">
      <c r="A94" s="6" t="s">
        <v>372</v>
      </c>
      <c r="B94" s="6" t="s">
        <v>357</v>
      </c>
      <c r="C94" s="6" t="s">
        <v>373</v>
      </c>
      <c r="D94" s="6" t="s">
        <v>253</v>
      </c>
      <c r="E94" s="6" t="s">
        <v>34</v>
      </c>
      <c r="F94" s="6" t="s">
        <v>374</v>
      </c>
      <c r="G94" s="6">
        <v>5</v>
      </c>
      <c r="H94" s="6" t="s">
        <v>36</v>
      </c>
      <c r="I94" s="6" t="s">
        <v>15</v>
      </c>
      <c r="J94" s="6" t="s">
        <v>375</v>
      </c>
      <c r="K94" s="6" t="s">
        <v>38</v>
      </c>
      <c r="L94" s="6" t="s">
        <v>108</v>
      </c>
      <c r="M94" s="6" t="s">
        <v>19</v>
      </c>
      <c r="N94" s="6" t="s">
        <v>20</v>
      </c>
    </row>
    <row r="95" spans="1:14" ht="84" x14ac:dyDescent="0.25">
      <c r="A95" s="6" t="s">
        <v>60</v>
      </c>
      <c r="B95" s="7" t="s">
        <v>357</v>
      </c>
      <c r="C95" s="6" t="s">
        <v>68</v>
      </c>
      <c r="D95" s="6" t="s">
        <v>253</v>
      </c>
      <c r="E95" s="6" t="s">
        <v>254</v>
      </c>
      <c r="F95" s="6" t="s">
        <v>376</v>
      </c>
      <c r="G95" s="6">
        <v>4</v>
      </c>
      <c r="H95" s="6" t="s">
        <v>36</v>
      </c>
      <c r="I95" s="6" t="s">
        <v>66</v>
      </c>
      <c r="J95" s="6" t="s">
        <v>107</v>
      </c>
      <c r="K95" s="6" t="s">
        <v>30</v>
      </c>
      <c r="L95" s="7" t="s">
        <v>108</v>
      </c>
      <c r="M95" s="7" t="s">
        <v>19</v>
      </c>
      <c r="N95" s="7" t="s">
        <v>20</v>
      </c>
    </row>
    <row r="96" spans="1:14" ht="84.75" thickBot="1" x14ac:dyDescent="0.3">
      <c r="A96" s="6" t="s">
        <v>60</v>
      </c>
      <c r="B96" s="7" t="s">
        <v>357</v>
      </c>
      <c r="C96" s="6" t="s">
        <v>61</v>
      </c>
      <c r="D96" s="6" t="s">
        <v>253</v>
      </c>
      <c r="E96" s="10" t="s">
        <v>254</v>
      </c>
      <c r="F96" s="6" t="s">
        <v>377</v>
      </c>
      <c r="G96" s="6">
        <v>4</v>
      </c>
      <c r="H96" s="6" t="s">
        <v>36</v>
      </c>
      <c r="I96" s="6" t="s">
        <v>66</v>
      </c>
      <c r="J96" s="6" t="s">
        <v>378</v>
      </c>
      <c r="K96" s="6" t="s">
        <v>30</v>
      </c>
      <c r="L96" s="7" t="s">
        <v>108</v>
      </c>
      <c r="M96" s="7" t="s">
        <v>19</v>
      </c>
      <c r="N96" s="14" t="s">
        <v>20</v>
      </c>
    </row>
    <row r="97" spans="1:14" ht="36" x14ac:dyDescent="0.25">
      <c r="A97" s="6" t="s">
        <v>379</v>
      </c>
      <c r="B97" s="6" t="s">
        <v>380</v>
      </c>
      <c r="C97" s="6" t="s">
        <v>93</v>
      </c>
      <c r="D97" s="6" t="s">
        <v>381</v>
      </c>
      <c r="E97" s="6" t="s">
        <v>382</v>
      </c>
      <c r="F97" s="6" t="s">
        <v>383</v>
      </c>
      <c r="G97" s="6">
        <v>10</v>
      </c>
      <c r="H97" s="6" t="s">
        <v>384</v>
      </c>
      <c r="I97" s="6" t="s">
        <v>15</v>
      </c>
      <c r="J97" s="13" t="s">
        <v>257</v>
      </c>
      <c r="K97" s="6" t="s">
        <v>258</v>
      </c>
      <c r="L97" s="6" t="s">
        <v>78</v>
      </c>
      <c r="M97" s="6" t="s">
        <v>49</v>
      </c>
      <c r="N97" s="6" t="s">
        <v>39</v>
      </c>
    </row>
    <row r="98" spans="1:14" ht="72" x14ac:dyDescent="0.25">
      <c r="A98" s="6" t="s">
        <v>379</v>
      </c>
      <c r="B98" s="6" t="s">
        <v>380</v>
      </c>
      <c r="C98" s="6" t="s">
        <v>281</v>
      </c>
      <c r="D98" s="6" t="s">
        <v>381</v>
      </c>
      <c r="E98" s="6" t="s">
        <v>382</v>
      </c>
      <c r="F98" s="6" t="s">
        <v>385</v>
      </c>
      <c r="G98" s="6">
        <v>21</v>
      </c>
      <c r="H98" s="6" t="s">
        <v>386</v>
      </c>
      <c r="I98" s="6" t="s">
        <v>387</v>
      </c>
      <c r="J98" s="13" t="s">
        <v>257</v>
      </c>
      <c r="K98" s="6" t="s">
        <v>258</v>
      </c>
      <c r="L98" s="6" t="s">
        <v>78</v>
      </c>
      <c r="M98" s="6" t="s">
        <v>49</v>
      </c>
      <c r="N98" s="6" t="s">
        <v>39</v>
      </c>
    </row>
    <row r="99" spans="1:14" ht="36" x14ac:dyDescent="0.25">
      <c r="A99" s="6" t="s">
        <v>379</v>
      </c>
      <c r="B99" s="6" t="s">
        <v>380</v>
      </c>
      <c r="C99" s="6" t="s">
        <v>264</v>
      </c>
      <c r="D99" s="6" t="s">
        <v>381</v>
      </c>
      <c r="E99" s="6" t="s">
        <v>382</v>
      </c>
      <c r="F99" s="6" t="s">
        <v>388</v>
      </c>
      <c r="G99" s="6">
        <v>11</v>
      </c>
      <c r="H99" s="6" t="s">
        <v>389</v>
      </c>
      <c r="I99" s="6" t="s">
        <v>15</v>
      </c>
      <c r="J99" s="13" t="s">
        <v>257</v>
      </c>
      <c r="K99" s="6" t="s">
        <v>258</v>
      </c>
      <c r="L99" s="6" t="s">
        <v>78</v>
      </c>
      <c r="M99" s="6" t="s">
        <v>49</v>
      </c>
      <c r="N99" s="6" t="s">
        <v>39</v>
      </c>
    </row>
    <row r="100" spans="1:14" ht="36" x14ac:dyDescent="0.25">
      <c r="A100" s="6" t="s">
        <v>379</v>
      </c>
      <c r="B100" s="6" t="s">
        <v>380</v>
      </c>
      <c r="C100" s="6" t="s">
        <v>390</v>
      </c>
      <c r="D100" s="6" t="s">
        <v>381</v>
      </c>
      <c r="E100" s="6" t="s">
        <v>382</v>
      </c>
      <c r="F100" s="6" t="s">
        <v>391</v>
      </c>
      <c r="G100" s="6">
        <v>17</v>
      </c>
      <c r="H100" s="6" t="s">
        <v>392</v>
      </c>
      <c r="I100" s="6" t="s">
        <v>15</v>
      </c>
      <c r="J100" s="13" t="s">
        <v>257</v>
      </c>
      <c r="K100" s="6" t="s">
        <v>258</v>
      </c>
      <c r="L100" s="6" t="s">
        <v>78</v>
      </c>
      <c r="M100" s="6" t="s">
        <v>49</v>
      </c>
      <c r="N100" s="6" t="s">
        <v>39</v>
      </c>
    </row>
    <row r="101" spans="1:14" ht="84" x14ac:dyDescent="0.25">
      <c r="A101" s="6" t="s">
        <v>60</v>
      </c>
      <c r="B101" s="6" t="s">
        <v>380</v>
      </c>
      <c r="C101" s="6" t="s">
        <v>68</v>
      </c>
      <c r="D101" s="6" t="s">
        <v>253</v>
      </c>
      <c r="E101" s="6" t="s">
        <v>393</v>
      </c>
      <c r="F101" s="6" t="s">
        <v>394</v>
      </c>
      <c r="G101" s="6">
        <v>5</v>
      </c>
      <c r="H101" s="6" t="s">
        <v>36</v>
      </c>
      <c r="I101" s="6" t="s">
        <v>66</v>
      </c>
      <c r="J101" s="6" t="s">
        <v>395</v>
      </c>
      <c r="K101" s="6" t="s">
        <v>30</v>
      </c>
      <c r="L101" s="7" t="s">
        <v>108</v>
      </c>
      <c r="M101" s="6" t="s">
        <v>19</v>
      </c>
      <c r="N101" s="6" t="s">
        <v>20</v>
      </c>
    </row>
    <row r="102" spans="1:14" ht="84" x14ac:dyDescent="0.25">
      <c r="A102" s="6" t="s">
        <v>60</v>
      </c>
      <c r="B102" s="6" t="s">
        <v>380</v>
      </c>
      <c r="C102" s="6" t="s">
        <v>61</v>
      </c>
      <c r="D102" s="6" t="s">
        <v>253</v>
      </c>
      <c r="E102" s="6" t="s">
        <v>396</v>
      </c>
      <c r="F102" s="6" t="s">
        <v>397</v>
      </c>
      <c r="G102" s="6">
        <v>3</v>
      </c>
      <c r="H102" s="6" t="s">
        <v>36</v>
      </c>
      <c r="I102" s="6" t="s">
        <v>66</v>
      </c>
      <c r="J102" s="6" t="s">
        <v>398</v>
      </c>
      <c r="K102" s="6" t="s">
        <v>17</v>
      </c>
      <c r="L102" s="7" t="s">
        <v>108</v>
      </c>
      <c r="M102" s="6" t="s">
        <v>19</v>
      </c>
      <c r="N102" s="6" t="s">
        <v>20</v>
      </c>
    </row>
    <row r="103" spans="1:14" ht="48" x14ac:dyDescent="0.25">
      <c r="A103" s="6" t="s">
        <v>356</v>
      </c>
      <c r="B103" s="6" t="s">
        <v>380</v>
      </c>
      <c r="C103" s="6" t="s">
        <v>399</v>
      </c>
      <c r="D103" s="6" t="s">
        <v>253</v>
      </c>
      <c r="E103" s="6" t="s">
        <v>44</v>
      </c>
      <c r="F103" s="6" t="s">
        <v>400</v>
      </c>
      <c r="G103" s="6">
        <v>7</v>
      </c>
      <c r="H103" s="6">
        <f>- (9.765)</f>
        <v>-9.7650000000000006</v>
      </c>
      <c r="I103" s="6" t="s">
        <v>15</v>
      </c>
      <c r="J103" s="6" t="s">
        <v>401</v>
      </c>
      <c r="K103" s="6" t="s">
        <v>59</v>
      </c>
      <c r="L103" s="6" t="s">
        <v>108</v>
      </c>
      <c r="M103" s="6" t="s">
        <v>49</v>
      </c>
      <c r="N103" s="6" t="s">
        <v>39</v>
      </c>
    </row>
    <row r="104" spans="1:14" ht="36" x14ac:dyDescent="0.25">
      <c r="A104" s="6" t="s">
        <v>356</v>
      </c>
      <c r="B104" s="6" t="s">
        <v>380</v>
      </c>
      <c r="C104" s="6" t="s">
        <v>32</v>
      </c>
      <c r="D104" s="6" t="s">
        <v>253</v>
      </c>
      <c r="E104" s="6" t="s">
        <v>44</v>
      </c>
      <c r="F104" s="6" t="s">
        <v>402</v>
      </c>
      <c r="G104" s="6">
        <v>8</v>
      </c>
      <c r="H104" s="6">
        <f>- (2.761)</f>
        <v>-2.7610000000000001</v>
      </c>
      <c r="I104" s="6" t="s">
        <v>15</v>
      </c>
      <c r="J104" s="6" t="s">
        <v>403</v>
      </c>
      <c r="K104" s="6" t="s">
        <v>59</v>
      </c>
      <c r="L104" s="6" t="s">
        <v>404</v>
      </c>
      <c r="M104" s="6" t="s">
        <v>49</v>
      </c>
      <c r="N104" s="6" t="s">
        <v>39</v>
      </c>
    </row>
    <row r="105" spans="1:14" ht="48" x14ac:dyDescent="0.25">
      <c r="A105" s="6" t="s">
        <v>360</v>
      </c>
      <c r="B105" s="6" t="s">
        <v>380</v>
      </c>
      <c r="C105" s="6" t="s">
        <v>369</v>
      </c>
      <c r="D105" s="6" t="s">
        <v>253</v>
      </c>
      <c r="E105" s="6" t="s">
        <v>34</v>
      </c>
      <c r="F105" s="6" t="s">
        <v>405</v>
      </c>
      <c r="G105" s="6">
        <v>3</v>
      </c>
      <c r="H105" s="6" t="s">
        <v>36</v>
      </c>
      <c r="I105" s="6" t="s">
        <v>15</v>
      </c>
      <c r="J105" s="6" t="s">
        <v>406</v>
      </c>
      <c r="K105" s="6" t="s">
        <v>38</v>
      </c>
      <c r="L105" s="6" t="s">
        <v>25</v>
      </c>
      <c r="M105" s="6" t="s">
        <v>19</v>
      </c>
      <c r="N105" s="6" t="s">
        <v>20</v>
      </c>
    </row>
    <row r="106" spans="1:14" ht="48" x14ac:dyDescent="0.25">
      <c r="A106" s="6" t="s">
        <v>372</v>
      </c>
      <c r="B106" s="6" t="s">
        <v>380</v>
      </c>
      <c r="C106" s="6" t="s">
        <v>373</v>
      </c>
      <c r="D106" s="6" t="s">
        <v>253</v>
      </c>
      <c r="E106" s="6" t="s">
        <v>34</v>
      </c>
      <c r="F106" s="6" t="s">
        <v>407</v>
      </c>
      <c r="G106" s="6">
        <v>3</v>
      </c>
      <c r="H106" s="6" t="s">
        <v>36</v>
      </c>
      <c r="I106" s="6" t="s">
        <v>15</v>
      </c>
      <c r="J106" s="6" t="s">
        <v>408</v>
      </c>
      <c r="K106" s="6" t="s">
        <v>38</v>
      </c>
      <c r="L106" s="6" t="s">
        <v>108</v>
      </c>
      <c r="M106" s="6" t="s">
        <v>19</v>
      </c>
      <c r="N106" s="6" t="s">
        <v>20</v>
      </c>
    </row>
    <row r="107" spans="1:14" ht="48" x14ac:dyDescent="0.25">
      <c r="A107" s="6" t="s">
        <v>409</v>
      </c>
      <c r="B107" s="6" t="s">
        <v>380</v>
      </c>
      <c r="C107" s="6" t="s">
        <v>410</v>
      </c>
      <c r="D107" s="6" t="s">
        <v>253</v>
      </c>
      <c r="E107" s="6" t="s">
        <v>34</v>
      </c>
      <c r="F107" s="6" t="s">
        <v>411</v>
      </c>
      <c r="G107" s="6">
        <v>4</v>
      </c>
      <c r="H107" s="6" t="s">
        <v>412</v>
      </c>
      <c r="I107" s="6" t="s">
        <v>15</v>
      </c>
      <c r="J107" s="6" t="s">
        <v>413</v>
      </c>
      <c r="K107" s="6" t="s">
        <v>92</v>
      </c>
      <c r="L107" s="6" t="s">
        <v>25</v>
      </c>
      <c r="M107" s="6" t="s">
        <v>19</v>
      </c>
      <c r="N107" s="6" t="s">
        <v>39</v>
      </c>
    </row>
    <row r="108" spans="1:14" ht="84" x14ac:dyDescent="0.25">
      <c r="A108" s="6" t="s">
        <v>60</v>
      </c>
      <c r="B108" s="6" t="s">
        <v>414</v>
      </c>
      <c r="C108" s="6" t="s">
        <v>68</v>
      </c>
      <c r="D108" s="6" t="s">
        <v>381</v>
      </c>
      <c r="E108" s="6" t="s">
        <v>415</v>
      </c>
      <c r="F108" s="6" t="s">
        <v>416</v>
      </c>
      <c r="G108" s="6">
        <v>7</v>
      </c>
      <c r="H108" s="6" t="s">
        <v>36</v>
      </c>
      <c r="I108" s="6" t="s">
        <v>66</v>
      </c>
      <c r="J108" s="6" t="s">
        <v>417</v>
      </c>
      <c r="K108" s="6" t="s">
        <v>30</v>
      </c>
      <c r="L108" s="7" t="s">
        <v>108</v>
      </c>
      <c r="M108" s="6" t="s">
        <v>19</v>
      </c>
      <c r="N108" s="6" t="s">
        <v>20</v>
      </c>
    </row>
    <row r="109" spans="1:14" ht="84" x14ac:dyDescent="0.25">
      <c r="A109" s="6" t="s">
        <v>60</v>
      </c>
      <c r="B109" s="6" t="s">
        <v>414</v>
      </c>
      <c r="C109" s="6" t="s">
        <v>61</v>
      </c>
      <c r="D109" s="6" t="s">
        <v>381</v>
      </c>
      <c r="E109" s="6" t="s">
        <v>418</v>
      </c>
      <c r="F109" s="6" t="s">
        <v>419</v>
      </c>
      <c r="G109" s="6">
        <v>3</v>
      </c>
      <c r="H109" s="6" t="s">
        <v>420</v>
      </c>
      <c r="I109" s="6" t="s">
        <v>66</v>
      </c>
      <c r="J109" s="6" t="s">
        <v>421</v>
      </c>
      <c r="K109" s="6" t="s">
        <v>30</v>
      </c>
      <c r="L109" s="7" t="s">
        <v>108</v>
      </c>
      <c r="M109" s="6" t="s">
        <v>19</v>
      </c>
      <c r="N109" s="6" t="s">
        <v>20</v>
      </c>
    </row>
    <row r="110" spans="1:14" ht="48" x14ac:dyDescent="0.25">
      <c r="A110" s="6" t="s">
        <v>356</v>
      </c>
      <c r="B110" s="6" t="s">
        <v>414</v>
      </c>
      <c r="C110" s="6" t="s">
        <v>422</v>
      </c>
      <c r="D110" s="6" t="s">
        <v>381</v>
      </c>
      <c r="E110" s="6" t="s">
        <v>44</v>
      </c>
      <c r="F110" s="6" t="s">
        <v>423</v>
      </c>
      <c r="G110" s="6">
        <v>10</v>
      </c>
      <c r="H110" s="6">
        <f>- (10.738)</f>
        <v>-10.738</v>
      </c>
      <c r="I110" s="6" t="s">
        <v>15</v>
      </c>
      <c r="J110" s="6" t="s">
        <v>424</v>
      </c>
      <c r="K110" s="6" t="s">
        <v>425</v>
      </c>
      <c r="L110" s="6" t="s">
        <v>108</v>
      </c>
      <c r="M110" s="6" t="s">
        <v>49</v>
      </c>
      <c r="N110" s="6" t="s">
        <v>39</v>
      </c>
    </row>
    <row r="111" spans="1:14" ht="48" x14ac:dyDescent="0.25">
      <c r="A111" s="6" t="s">
        <v>356</v>
      </c>
      <c r="B111" s="6" t="s">
        <v>414</v>
      </c>
      <c r="C111" s="6" t="s">
        <v>399</v>
      </c>
      <c r="D111" s="6" t="s">
        <v>381</v>
      </c>
      <c r="E111" s="6" t="s">
        <v>44</v>
      </c>
      <c r="F111" s="6" t="s">
        <v>426</v>
      </c>
      <c r="G111" s="6">
        <v>7</v>
      </c>
      <c r="H111" s="6">
        <f>- (10.292)</f>
        <v>-10.292</v>
      </c>
      <c r="I111" s="6" t="s">
        <v>15</v>
      </c>
      <c r="J111" s="6" t="s">
        <v>283</v>
      </c>
      <c r="K111" s="6" t="s">
        <v>59</v>
      </c>
      <c r="L111" s="6" t="s">
        <v>108</v>
      </c>
      <c r="M111" s="6" t="s">
        <v>49</v>
      </c>
      <c r="N111" s="6" t="s">
        <v>39</v>
      </c>
    </row>
    <row r="112" spans="1:14" ht="60" x14ac:dyDescent="0.25">
      <c r="A112" s="6" t="s">
        <v>356</v>
      </c>
      <c r="B112" s="6" t="s">
        <v>414</v>
      </c>
      <c r="C112" s="6" t="s">
        <v>84</v>
      </c>
      <c r="D112" s="6" t="s">
        <v>381</v>
      </c>
      <c r="E112" s="6" t="s">
        <v>427</v>
      </c>
      <c r="F112" s="6" t="s">
        <v>428</v>
      </c>
      <c r="G112" s="6">
        <v>2</v>
      </c>
      <c r="H112" s="6">
        <f>- (322)</f>
        <v>-322</v>
      </c>
      <c r="I112" s="6" t="s">
        <v>15</v>
      </c>
      <c r="J112" s="6" t="s">
        <v>283</v>
      </c>
      <c r="K112" s="6" t="s">
        <v>59</v>
      </c>
      <c r="L112" s="6" t="s">
        <v>108</v>
      </c>
      <c r="M112" s="6" t="s">
        <v>49</v>
      </c>
      <c r="N112" s="6" t="s">
        <v>39</v>
      </c>
    </row>
    <row r="113" spans="1:14" ht="48" x14ac:dyDescent="0.25">
      <c r="A113" s="6" t="s">
        <v>356</v>
      </c>
      <c r="B113" s="6" t="s">
        <v>414</v>
      </c>
      <c r="C113" s="6" t="s">
        <v>32</v>
      </c>
      <c r="D113" s="6" t="s">
        <v>381</v>
      </c>
      <c r="E113" s="6" t="s">
        <v>44</v>
      </c>
      <c r="F113" s="6" t="s">
        <v>429</v>
      </c>
      <c r="G113" s="6">
        <v>7</v>
      </c>
      <c r="H113" s="6">
        <f>- (2.748)</f>
        <v>-2.7480000000000002</v>
      </c>
      <c r="I113" s="6" t="s">
        <v>15</v>
      </c>
      <c r="J113" s="6" t="s">
        <v>283</v>
      </c>
      <c r="K113" s="6" t="s">
        <v>59</v>
      </c>
      <c r="L113" s="6" t="s">
        <v>108</v>
      </c>
      <c r="M113" s="6" t="s">
        <v>49</v>
      </c>
      <c r="N113" s="6" t="s">
        <v>39</v>
      </c>
    </row>
    <row r="114" spans="1:14" ht="48" x14ac:dyDescent="0.25">
      <c r="A114" s="6" t="s">
        <v>356</v>
      </c>
      <c r="B114" s="6" t="s">
        <v>414</v>
      </c>
      <c r="C114" s="6" t="s">
        <v>430</v>
      </c>
      <c r="D114" s="6" t="s">
        <v>381</v>
      </c>
      <c r="E114" s="6" t="s">
        <v>44</v>
      </c>
      <c r="F114" s="6" t="s">
        <v>431</v>
      </c>
      <c r="G114" s="6">
        <v>3</v>
      </c>
      <c r="H114" s="6">
        <f>- (1.149)</f>
        <v>-1.149</v>
      </c>
      <c r="I114" s="6" t="s">
        <v>15</v>
      </c>
      <c r="J114" s="6" t="s">
        <v>421</v>
      </c>
      <c r="K114" s="6" t="s">
        <v>59</v>
      </c>
      <c r="L114" s="6" t="s">
        <v>108</v>
      </c>
      <c r="M114" s="6" t="s">
        <v>49</v>
      </c>
      <c r="N114" s="6" t="s">
        <v>39</v>
      </c>
    </row>
    <row r="115" spans="1:14" ht="48" x14ac:dyDescent="0.25">
      <c r="A115" s="6" t="s">
        <v>409</v>
      </c>
      <c r="B115" s="6" t="s">
        <v>414</v>
      </c>
      <c r="C115" s="6" t="s">
        <v>410</v>
      </c>
      <c r="D115" s="6" t="s">
        <v>343</v>
      </c>
      <c r="E115" s="6" t="s">
        <v>34</v>
      </c>
      <c r="F115" s="6" t="s">
        <v>432</v>
      </c>
      <c r="G115" s="6">
        <v>3</v>
      </c>
      <c r="H115" s="6" t="s">
        <v>433</v>
      </c>
      <c r="I115" s="6" t="s">
        <v>15</v>
      </c>
      <c r="J115" s="6" t="s">
        <v>434</v>
      </c>
      <c r="K115" s="6" t="s">
        <v>38</v>
      </c>
      <c r="L115" s="6" t="s">
        <v>25</v>
      </c>
      <c r="M115" s="6" t="s">
        <v>19</v>
      </c>
      <c r="N115" s="6" t="s">
        <v>39</v>
      </c>
    </row>
    <row r="116" spans="1:14" ht="48" x14ac:dyDescent="0.25">
      <c r="A116" s="6" t="s">
        <v>360</v>
      </c>
      <c r="B116" s="6" t="s">
        <v>435</v>
      </c>
      <c r="C116" s="6" t="s">
        <v>369</v>
      </c>
      <c r="D116" s="6" t="s">
        <v>253</v>
      </c>
      <c r="E116" s="6" t="s">
        <v>34</v>
      </c>
      <c r="F116" s="6" t="s">
        <v>436</v>
      </c>
      <c r="G116" s="6">
        <v>3</v>
      </c>
      <c r="H116" s="6" t="s">
        <v>36</v>
      </c>
      <c r="I116" s="6" t="s">
        <v>15</v>
      </c>
      <c r="J116" s="6" t="s">
        <v>437</v>
      </c>
      <c r="K116" s="6" t="s">
        <v>38</v>
      </c>
      <c r="L116" s="6" t="s">
        <v>25</v>
      </c>
      <c r="M116" s="6" t="s">
        <v>19</v>
      </c>
      <c r="N116" s="6" t="s">
        <v>20</v>
      </c>
    </row>
    <row r="117" spans="1:14" ht="36" x14ac:dyDescent="0.25">
      <c r="A117" s="6" t="s">
        <v>360</v>
      </c>
      <c r="B117" s="6" t="s">
        <v>435</v>
      </c>
      <c r="C117" s="6" t="s">
        <v>73</v>
      </c>
      <c r="D117" s="6" t="s">
        <v>253</v>
      </c>
      <c r="E117" s="6" t="s">
        <v>34</v>
      </c>
      <c r="F117" s="6" t="s">
        <v>438</v>
      </c>
      <c r="G117" s="6">
        <v>2</v>
      </c>
      <c r="H117" s="6" t="s">
        <v>36</v>
      </c>
      <c r="I117" s="6" t="s">
        <v>15</v>
      </c>
      <c r="J117" s="6" t="s">
        <v>439</v>
      </c>
      <c r="K117" s="6" t="s">
        <v>38</v>
      </c>
      <c r="L117" s="6" t="s">
        <v>78</v>
      </c>
      <c r="M117" s="6" t="s">
        <v>19</v>
      </c>
      <c r="N117" s="6" t="s">
        <v>20</v>
      </c>
    </row>
    <row r="118" spans="1:14" ht="48" x14ac:dyDescent="0.25">
      <c r="A118" s="6" t="s">
        <v>372</v>
      </c>
      <c r="B118" s="6" t="s">
        <v>435</v>
      </c>
      <c r="C118" s="6" t="s">
        <v>373</v>
      </c>
      <c r="D118" s="6" t="s">
        <v>253</v>
      </c>
      <c r="E118" s="6" t="s">
        <v>34</v>
      </c>
      <c r="F118" s="6" t="s">
        <v>440</v>
      </c>
      <c r="G118" s="6">
        <v>3</v>
      </c>
      <c r="H118" s="6" t="s">
        <v>441</v>
      </c>
      <c r="I118" s="6" t="s">
        <v>15</v>
      </c>
      <c r="J118" s="6" t="s">
        <v>442</v>
      </c>
      <c r="K118" s="6" t="s">
        <v>38</v>
      </c>
      <c r="L118" s="6" t="s">
        <v>108</v>
      </c>
      <c r="M118" s="6" t="s">
        <v>19</v>
      </c>
      <c r="N118" s="6" t="s">
        <v>20</v>
      </c>
    </row>
    <row r="119" spans="1:14" ht="48" x14ac:dyDescent="0.25">
      <c r="A119" s="6" t="s">
        <v>409</v>
      </c>
      <c r="B119" s="6" t="s">
        <v>435</v>
      </c>
      <c r="C119" s="6" t="s">
        <v>410</v>
      </c>
      <c r="D119" s="6" t="s">
        <v>253</v>
      </c>
      <c r="E119" s="6" t="s">
        <v>34</v>
      </c>
      <c r="F119" s="6" t="s">
        <v>443</v>
      </c>
      <c r="G119" s="6">
        <v>2</v>
      </c>
      <c r="H119" s="6" t="s">
        <v>444</v>
      </c>
      <c r="I119" s="6" t="s">
        <v>15</v>
      </c>
      <c r="J119" s="6" t="s">
        <v>283</v>
      </c>
      <c r="K119" s="6" t="s">
        <v>92</v>
      </c>
      <c r="L119" s="6" t="s">
        <v>25</v>
      </c>
      <c r="M119" s="6" t="s">
        <v>19</v>
      </c>
      <c r="N119" s="6" t="s">
        <v>39</v>
      </c>
    </row>
    <row r="120" spans="1:14" ht="48" x14ac:dyDescent="0.25">
      <c r="A120" s="6" t="s">
        <v>360</v>
      </c>
      <c r="B120" s="6" t="s">
        <v>445</v>
      </c>
      <c r="C120" s="6" t="s">
        <v>369</v>
      </c>
      <c r="D120" s="6" t="s">
        <v>343</v>
      </c>
      <c r="E120" s="6" t="s">
        <v>34</v>
      </c>
      <c r="F120" s="6" t="s">
        <v>446</v>
      </c>
      <c r="G120" s="6">
        <v>2</v>
      </c>
      <c r="H120" s="6" t="s">
        <v>36</v>
      </c>
      <c r="I120" s="6" t="s">
        <v>15</v>
      </c>
      <c r="J120" s="6" t="s">
        <v>447</v>
      </c>
      <c r="K120" s="6" t="s">
        <v>38</v>
      </c>
      <c r="L120" s="6" t="s">
        <v>25</v>
      </c>
      <c r="M120" s="6" t="s">
        <v>19</v>
      </c>
      <c r="N120" s="6" t="s">
        <v>20</v>
      </c>
    </row>
    <row r="121" spans="1:14" ht="48.75" thickBot="1" x14ac:dyDescent="0.3">
      <c r="A121" s="10" t="s">
        <v>409</v>
      </c>
      <c r="B121" s="10" t="s">
        <v>445</v>
      </c>
      <c r="C121" s="10" t="s">
        <v>410</v>
      </c>
      <c r="D121" s="10" t="s">
        <v>343</v>
      </c>
      <c r="E121" s="10" t="s">
        <v>34</v>
      </c>
      <c r="F121" s="10" t="s">
        <v>448</v>
      </c>
      <c r="G121" s="10">
        <v>3</v>
      </c>
      <c r="H121" s="10" t="s">
        <v>449</v>
      </c>
      <c r="I121" s="10" t="s">
        <v>15</v>
      </c>
      <c r="J121" s="10" t="s">
        <v>283</v>
      </c>
      <c r="K121" s="10" t="s">
        <v>38</v>
      </c>
      <c r="L121" s="10" t="s">
        <v>450</v>
      </c>
      <c r="M121" s="10" t="s">
        <v>19</v>
      </c>
      <c r="N121" s="10" t="s">
        <v>39</v>
      </c>
    </row>
    <row r="122" spans="1:14" ht="48" x14ac:dyDescent="0.25">
      <c r="A122" s="6" t="s">
        <v>356</v>
      </c>
      <c r="B122" s="6" t="s">
        <v>451</v>
      </c>
      <c r="C122" s="6" t="s">
        <v>452</v>
      </c>
      <c r="D122" s="6" t="s">
        <v>278</v>
      </c>
      <c r="E122" s="6" t="s">
        <v>44</v>
      </c>
      <c r="F122" s="6" t="s">
        <v>453</v>
      </c>
      <c r="G122" s="6">
        <v>7</v>
      </c>
      <c r="H122" s="6">
        <f>- (2.862)</f>
        <v>-2.8620000000000001</v>
      </c>
      <c r="I122" s="6" t="s">
        <v>15</v>
      </c>
      <c r="J122" s="15">
        <v>0</v>
      </c>
      <c r="K122" s="6" t="s">
        <v>59</v>
      </c>
      <c r="L122" s="6" t="s">
        <v>25</v>
      </c>
      <c r="M122" s="6" t="s">
        <v>49</v>
      </c>
      <c r="N122" s="6" t="s">
        <v>39</v>
      </c>
    </row>
    <row r="123" spans="1:14" ht="36" x14ac:dyDescent="0.25">
      <c r="A123" s="6" t="s">
        <v>356</v>
      </c>
      <c r="B123" s="6" t="s">
        <v>451</v>
      </c>
      <c r="C123" s="6" t="s">
        <v>422</v>
      </c>
      <c r="D123" s="6" t="s">
        <v>454</v>
      </c>
      <c r="E123" s="6" t="s">
        <v>44</v>
      </c>
      <c r="F123" s="6" t="s">
        <v>455</v>
      </c>
      <c r="G123" s="6">
        <v>10</v>
      </c>
      <c r="H123" s="6">
        <f>- (14.859)</f>
        <v>-14.859</v>
      </c>
      <c r="I123" s="6" t="s">
        <v>15</v>
      </c>
      <c r="J123" s="15">
        <v>0.18</v>
      </c>
      <c r="K123" s="6" t="s">
        <v>47</v>
      </c>
      <c r="L123" s="6" t="s">
        <v>78</v>
      </c>
      <c r="M123" s="6" t="s">
        <v>49</v>
      </c>
      <c r="N123" s="6" t="s">
        <v>39</v>
      </c>
    </row>
    <row r="124" spans="1:14" ht="48" x14ac:dyDescent="0.25">
      <c r="A124" s="6" t="s">
        <v>356</v>
      </c>
      <c r="B124" s="6" t="s">
        <v>451</v>
      </c>
      <c r="C124" s="6" t="s">
        <v>101</v>
      </c>
      <c r="D124" s="6" t="s">
        <v>454</v>
      </c>
      <c r="E124" s="6" t="s">
        <v>44</v>
      </c>
      <c r="F124" s="6" t="s">
        <v>22</v>
      </c>
      <c r="G124" s="6">
        <v>15</v>
      </c>
      <c r="H124" s="6">
        <f>- (38.107)</f>
        <v>-38.106999999999999</v>
      </c>
      <c r="I124" s="6" t="s">
        <v>15</v>
      </c>
      <c r="J124" s="15">
        <v>0</v>
      </c>
      <c r="K124" s="6" t="s">
        <v>59</v>
      </c>
      <c r="L124" s="6" t="s">
        <v>25</v>
      </c>
      <c r="M124" s="6" t="s">
        <v>49</v>
      </c>
      <c r="N124" s="6" t="s">
        <v>39</v>
      </c>
    </row>
    <row r="125" spans="1:14" ht="36" x14ac:dyDescent="0.25">
      <c r="A125" s="6" t="s">
        <v>360</v>
      </c>
      <c r="B125" s="6" t="s">
        <v>456</v>
      </c>
      <c r="C125" s="6" t="s">
        <v>363</v>
      </c>
      <c r="D125" s="6" t="s">
        <v>278</v>
      </c>
      <c r="E125" s="6" t="s">
        <v>34</v>
      </c>
      <c r="F125" s="6" t="s">
        <v>457</v>
      </c>
      <c r="G125" s="6">
        <v>2</v>
      </c>
      <c r="H125" s="6" t="s">
        <v>36</v>
      </c>
      <c r="I125" s="6" t="s">
        <v>15</v>
      </c>
      <c r="J125" s="6" t="s">
        <v>458</v>
      </c>
      <c r="K125" s="6" t="s">
        <v>38</v>
      </c>
      <c r="L125" s="6" t="s">
        <v>249</v>
      </c>
      <c r="M125" s="6" t="s">
        <v>19</v>
      </c>
      <c r="N125" s="6" t="s">
        <v>20</v>
      </c>
    </row>
    <row r="126" spans="1:14" ht="48" x14ac:dyDescent="0.25">
      <c r="A126" s="6" t="s">
        <v>360</v>
      </c>
      <c r="B126" s="6" t="s">
        <v>456</v>
      </c>
      <c r="C126" s="6" t="s">
        <v>73</v>
      </c>
      <c r="D126" s="6" t="s">
        <v>278</v>
      </c>
      <c r="E126" s="6" t="s">
        <v>34</v>
      </c>
      <c r="F126" s="6" t="s">
        <v>459</v>
      </c>
      <c r="G126" s="6">
        <v>2</v>
      </c>
      <c r="H126" s="6" t="s">
        <v>36</v>
      </c>
      <c r="I126" s="6" t="s">
        <v>15</v>
      </c>
      <c r="J126" s="6" t="s">
        <v>362</v>
      </c>
      <c r="K126" s="6" t="s">
        <v>92</v>
      </c>
      <c r="L126" s="6" t="s">
        <v>25</v>
      </c>
      <c r="M126" s="6" t="s">
        <v>19</v>
      </c>
      <c r="N126" s="6" t="s">
        <v>20</v>
      </c>
    </row>
    <row r="127" spans="1:14" ht="36" x14ac:dyDescent="0.25">
      <c r="A127" s="6" t="s">
        <v>360</v>
      </c>
      <c r="B127" s="6" t="s">
        <v>456</v>
      </c>
      <c r="C127" s="6" t="s">
        <v>369</v>
      </c>
      <c r="D127" s="6" t="s">
        <v>278</v>
      </c>
      <c r="E127" s="6" t="s">
        <v>34</v>
      </c>
      <c r="F127" s="6" t="s">
        <v>460</v>
      </c>
      <c r="G127" s="6">
        <v>4</v>
      </c>
      <c r="H127" s="6" t="s">
        <v>36</v>
      </c>
      <c r="I127" s="6" t="s">
        <v>15</v>
      </c>
      <c r="J127" s="6" t="s">
        <v>447</v>
      </c>
      <c r="K127" s="6" t="s">
        <v>92</v>
      </c>
      <c r="L127" s="6" t="s">
        <v>78</v>
      </c>
      <c r="M127" s="6" t="s">
        <v>19</v>
      </c>
      <c r="N127" s="6" t="s">
        <v>20</v>
      </c>
    </row>
    <row r="128" spans="1:14" ht="48" x14ac:dyDescent="0.25">
      <c r="A128" s="6" t="s">
        <v>372</v>
      </c>
      <c r="B128" s="6" t="s">
        <v>461</v>
      </c>
      <c r="C128" s="6" t="s">
        <v>373</v>
      </c>
      <c r="D128" s="6" t="s">
        <v>278</v>
      </c>
      <c r="E128" s="6" t="s">
        <v>34</v>
      </c>
      <c r="F128" s="6" t="s">
        <v>462</v>
      </c>
      <c r="G128" s="6">
        <v>6</v>
      </c>
      <c r="H128" s="6" t="s">
        <v>36</v>
      </c>
      <c r="I128" s="6" t="s">
        <v>15</v>
      </c>
      <c r="J128" s="6" t="s">
        <v>463</v>
      </c>
      <c r="K128" s="6" t="s">
        <v>92</v>
      </c>
      <c r="L128" s="6" t="s">
        <v>108</v>
      </c>
      <c r="M128" s="6" t="s">
        <v>19</v>
      </c>
      <c r="N128" s="6" t="s">
        <v>20</v>
      </c>
    </row>
    <row r="129" spans="1:14" ht="84" x14ac:dyDescent="0.25">
      <c r="A129" s="6" t="s">
        <v>60</v>
      </c>
      <c r="B129" s="6" t="s">
        <v>461</v>
      </c>
      <c r="C129" s="6" t="s">
        <v>68</v>
      </c>
      <c r="D129" s="6" t="s">
        <v>278</v>
      </c>
      <c r="E129" s="6" t="s">
        <v>464</v>
      </c>
      <c r="F129" s="6" t="s">
        <v>465</v>
      </c>
      <c r="G129" s="6">
        <v>5</v>
      </c>
      <c r="H129" s="6" t="s">
        <v>36</v>
      </c>
      <c r="I129" s="6" t="s">
        <v>66</v>
      </c>
      <c r="J129" s="6" t="s">
        <v>466</v>
      </c>
      <c r="K129" s="6" t="s">
        <v>30</v>
      </c>
      <c r="L129" s="6" t="s">
        <v>108</v>
      </c>
      <c r="M129" s="6" t="s">
        <v>19</v>
      </c>
      <c r="N129" s="7" t="s">
        <v>20</v>
      </c>
    </row>
    <row r="130" spans="1:14" ht="84" x14ac:dyDescent="0.25">
      <c r="A130" s="6" t="s">
        <v>60</v>
      </c>
      <c r="B130" s="7" t="s">
        <v>461</v>
      </c>
      <c r="C130" s="6" t="s">
        <v>61</v>
      </c>
      <c r="D130" s="6" t="s">
        <v>278</v>
      </c>
      <c r="E130" s="6" t="s">
        <v>467</v>
      </c>
      <c r="F130" s="6" t="s">
        <v>468</v>
      </c>
      <c r="G130" s="6">
        <v>3</v>
      </c>
      <c r="H130" s="6" t="s">
        <v>469</v>
      </c>
      <c r="I130" s="6" t="s">
        <v>66</v>
      </c>
      <c r="J130" s="6" t="s">
        <v>470</v>
      </c>
      <c r="K130" s="6" t="s">
        <v>30</v>
      </c>
      <c r="L130" s="7" t="s">
        <v>108</v>
      </c>
      <c r="M130" s="7" t="s">
        <v>19</v>
      </c>
      <c r="N130" s="7" t="s">
        <v>20</v>
      </c>
    </row>
    <row r="131" spans="1:14" ht="48" x14ac:dyDescent="0.25">
      <c r="A131" s="6" t="s">
        <v>360</v>
      </c>
      <c r="B131" s="6" t="s">
        <v>471</v>
      </c>
      <c r="C131" s="6" t="s">
        <v>369</v>
      </c>
      <c r="D131" s="6" t="s">
        <v>278</v>
      </c>
      <c r="E131" s="6" t="s">
        <v>34</v>
      </c>
      <c r="F131" s="6" t="s">
        <v>472</v>
      </c>
      <c r="G131" s="6">
        <v>5</v>
      </c>
      <c r="H131" s="6" t="s">
        <v>36</v>
      </c>
      <c r="I131" s="6" t="s">
        <v>15</v>
      </c>
      <c r="J131" s="6" t="s">
        <v>473</v>
      </c>
      <c r="K131" s="6" t="s">
        <v>92</v>
      </c>
      <c r="L131" s="6" t="s">
        <v>25</v>
      </c>
      <c r="M131" s="6" t="s">
        <v>19</v>
      </c>
      <c r="N131" s="6" t="s">
        <v>20</v>
      </c>
    </row>
    <row r="132" spans="1:14" ht="48" x14ac:dyDescent="0.25">
      <c r="A132" s="6" t="s">
        <v>360</v>
      </c>
      <c r="B132" s="6" t="s">
        <v>474</v>
      </c>
      <c r="C132" s="6" t="s">
        <v>369</v>
      </c>
      <c r="D132" s="6" t="s">
        <v>381</v>
      </c>
      <c r="E132" s="6" t="s">
        <v>34</v>
      </c>
      <c r="F132" s="6" t="s">
        <v>475</v>
      </c>
      <c r="G132" s="6">
        <v>5</v>
      </c>
      <c r="H132" s="6" t="s">
        <v>36</v>
      </c>
      <c r="I132" s="6" t="s">
        <v>15</v>
      </c>
      <c r="J132" s="6" t="s">
        <v>476</v>
      </c>
      <c r="K132" s="6" t="s">
        <v>38</v>
      </c>
      <c r="L132" s="6" t="s">
        <v>25</v>
      </c>
      <c r="M132" s="6" t="s">
        <v>19</v>
      </c>
      <c r="N132" s="6" t="s">
        <v>20</v>
      </c>
    </row>
    <row r="133" spans="1:14" ht="48.75" thickBot="1" x14ac:dyDescent="0.3">
      <c r="A133" s="6" t="s">
        <v>360</v>
      </c>
      <c r="B133" s="6" t="s">
        <v>477</v>
      </c>
      <c r="C133" s="6" t="s">
        <v>369</v>
      </c>
      <c r="D133" s="6" t="s">
        <v>182</v>
      </c>
      <c r="E133" s="10" t="s">
        <v>34</v>
      </c>
      <c r="F133" s="6" t="s">
        <v>478</v>
      </c>
      <c r="G133" s="6">
        <v>3</v>
      </c>
      <c r="H133" s="6" t="s">
        <v>36</v>
      </c>
      <c r="I133" s="6" t="s">
        <v>15</v>
      </c>
      <c r="J133" s="6" t="s">
        <v>479</v>
      </c>
      <c r="K133" s="6" t="s">
        <v>38</v>
      </c>
      <c r="L133" s="6" t="s">
        <v>25</v>
      </c>
      <c r="M133" s="6" t="s">
        <v>19</v>
      </c>
      <c r="N133" s="10" t="s">
        <v>20</v>
      </c>
    </row>
    <row r="134" spans="1:14" ht="84" x14ac:dyDescent="0.25">
      <c r="A134" s="6" t="s">
        <v>60</v>
      </c>
      <c r="B134" s="6" t="s">
        <v>480</v>
      </c>
      <c r="C134" s="6" t="s">
        <v>68</v>
      </c>
      <c r="D134" s="6" t="s">
        <v>381</v>
      </c>
      <c r="E134" s="6" t="s">
        <v>481</v>
      </c>
      <c r="F134" s="6" t="s">
        <v>482</v>
      </c>
      <c r="G134" s="6">
        <v>2</v>
      </c>
      <c r="H134" s="6" t="s">
        <v>36</v>
      </c>
      <c r="I134" s="6" t="s">
        <v>66</v>
      </c>
      <c r="J134" s="6" t="s">
        <v>483</v>
      </c>
      <c r="K134" s="6" t="s">
        <v>30</v>
      </c>
      <c r="L134" s="6" t="s">
        <v>249</v>
      </c>
      <c r="M134" s="6" t="s">
        <v>19</v>
      </c>
      <c r="N134" s="6" t="s">
        <v>20</v>
      </c>
    </row>
    <row r="135" spans="1:14" ht="48.75" thickBot="1" x14ac:dyDescent="0.3">
      <c r="A135" s="16" t="s">
        <v>372</v>
      </c>
      <c r="B135" s="16" t="s">
        <v>480</v>
      </c>
      <c r="C135" s="16" t="s">
        <v>373</v>
      </c>
      <c r="D135" s="16" t="s">
        <v>381</v>
      </c>
      <c r="E135" s="10" t="s">
        <v>34</v>
      </c>
      <c r="F135" s="16" t="s">
        <v>484</v>
      </c>
      <c r="G135" s="16">
        <v>3</v>
      </c>
      <c r="H135" s="16" t="s">
        <v>36</v>
      </c>
      <c r="I135" s="16" t="s">
        <v>15</v>
      </c>
      <c r="J135" s="16" t="s">
        <v>485</v>
      </c>
      <c r="K135" s="16" t="s">
        <v>38</v>
      </c>
      <c r="L135" s="16" t="s">
        <v>108</v>
      </c>
      <c r="M135" s="16" t="s">
        <v>19</v>
      </c>
      <c r="N135" s="10" t="s">
        <v>20</v>
      </c>
    </row>
    <row r="136" spans="1:14" ht="48" x14ac:dyDescent="0.25">
      <c r="A136" s="6" t="s">
        <v>486</v>
      </c>
      <c r="B136" s="6" t="s">
        <v>487</v>
      </c>
      <c r="C136" s="6" t="s">
        <v>11</v>
      </c>
      <c r="D136" s="6" t="s">
        <v>182</v>
      </c>
      <c r="E136" s="6" t="s">
        <v>34</v>
      </c>
      <c r="F136" s="6" t="s">
        <v>488</v>
      </c>
      <c r="G136" s="6">
        <v>9</v>
      </c>
      <c r="H136" s="6" t="s">
        <v>489</v>
      </c>
      <c r="I136" s="6" t="s">
        <v>15</v>
      </c>
      <c r="J136" s="6" t="s">
        <v>490</v>
      </c>
      <c r="K136" s="6" t="s">
        <v>38</v>
      </c>
      <c r="L136" s="6" t="s">
        <v>491</v>
      </c>
      <c r="M136" s="6" t="s">
        <v>19</v>
      </c>
      <c r="N136" s="6" t="s">
        <v>20</v>
      </c>
    </row>
    <row r="137" spans="1:14" ht="48" x14ac:dyDescent="0.25">
      <c r="A137" s="6" t="s">
        <v>486</v>
      </c>
      <c r="B137" s="6" t="s">
        <v>487</v>
      </c>
      <c r="C137" s="6" t="s">
        <v>492</v>
      </c>
      <c r="D137" s="6" t="s">
        <v>182</v>
      </c>
      <c r="E137" s="6" t="s">
        <v>34</v>
      </c>
      <c r="F137" s="6" t="s">
        <v>493</v>
      </c>
      <c r="G137" s="6">
        <v>7</v>
      </c>
      <c r="H137" s="6" t="s">
        <v>494</v>
      </c>
      <c r="I137" s="6" t="s">
        <v>15</v>
      </c>
      <c r="J137" s="6" t="s">
        <v>495</v>
      </c>
      <c r="K137" s="6" t="s">
        <v>38</v>
      </c>
      <c r="L137" s="6" t="s">
        <v>108</v>
      </c>
      <c r="M137" s="6" t="s">
        <v>19</v>
      </c>
      <c r="N137" s="6" t="s">
        <v>20</v>
      </c>
    </row>
    <row r="138" spans="1:14" ht="48" x14ac:dyDescent="0.25">
      <c r="A138" s="6" t="s">
        <v>486</v>
      </c>
      <c r="B138" s="6" t="s">
        <v>487</v>
      </c>
      <c r="C138" s="6" t="s">
        <v>26</v>
      </c>
      <c r="D138" s="6" t="s">
        <v>182</v>
      </c>
      <c r="E138" s="6" t="s">
        <v>34</v>
      </c>
      <c r="F138" s="6" t="s">
        <v>496</v>
      </c>
      <c r="G138" s="6">
        <v>7</v>
      </c>
      <c r="H138" s="6" t="s">
        <v>497</v>
      </c>
      <c r="I138" s="6" t="s">
        <v>15</v>
      </c>
      <c r="J138" s="6" t="s">
        <v>498</v>
      </c>
      <c r="K138" s="6" t="s">
        <v>38</v>
      </c>
      <c r="L138" s="6" t="s">
        <v>108</v>
      </c>
      <c r="M138" s="6" t="s">
        <v>19</v>
      </c>
      <c r="N138" s="6" t="s">
        <v>20</v>
      </c>
    </row>
    <row r="139" spans="1:14" ht="48" x14ac:dyDescent="0.25">
      <c r="A139" s="6" t="s">
        <v>486</v>
      </c>
      <c r="B139" s="6" t="s">
        <v>487</v>
      </c>
      <c r="C139" s="6" t="s">
        <v>131</v>
      </c>
      <c r="D139" s="6" t="s">
        <v>182</v>
      </c>
      <c r="E139" s="6" t="s">
        <v>34</v>
      </c>
      <c r="F139" s="6" t="s">
        <v>499</v>
      </c>
      <c r="G139" s="6">
        <v>6</v>
      </c>
      <c r="H139" s="6" t="s">
        <v>500</v>
      </c>
      <c r="I139" s="6" t="s">
        <v>15</v>
      </c>
      <c r="J139" s="6" t="s">
        <v>501</v>
      </c>
      <c r="K139" s="6" t="s">
        <v>92</v>
      </c>
      <c r="L139" s="6" t="s">
        <v>108</v>
      </c>
      <c r="M139" s="6" t="s">
        <v>19</v>
      </c>
      <c r="N139" s="6" t="s">
        <v>20</v>
      </c>
    </row>
    <row r="140" spans="1:14" ht="48" x14ac:dyDescent="0.25">
      <c r="A140" s="6" t="s">
        <v>486</v>
      </c>
      <c r="B140" s="6" t="s">
        <v>487</v>
      </c>
      <c r="C140" s="6" t="s">
        <v>21</v>
      </c>
      <c r="D140" s="6" t="s">
        <v>182</v>
      </c>
      <c r="E140" s="6" t="s">
        <v>34</v>
      </c>
      <c r="F140" s="6" t="s">
        <v>51</v>
      </c>
      <c r="G140" s="6">
        <v>8</v>
      </c>
      <c r="H140" s="6" t="s">
        <v>502</v>
      </c>
      <c r="I140" s="6" t="s">
        <v>15</v>
      </c>
      <c r="J140" s="6" t="s">
        <v>503</v>
      </c>
      <c r="K140" s="6" t="s">
        <v>38</v>
      </c>
      <c r="L140" s="6" t="s">
        <v>491</v>
      </c>
      <c r="M140" s="6" t="s">
        <v>19</v>
      </c>
      <c r="N140" s="6" t="s">
        <v>20</v>
      </c>
    </row>
    <row r="141" spans="1:14" ht="48" x14ac:dyDescent="0.25">
      <c r="A141" s="6" t="s">
        <v>486</v>
      </c>
      <c r="B141" s="6" t="s">
        <v>487</v>
      </c>
      <c r="C141" s="6" t="s">
        <v>504</v>
      </c>
      <c r="D141" s="6" t="s">
        <v>182</v>
      </c>
      <c r="E141" s="6" t="s">
        <v>34</v>
      </c>
      <c r="F141" s="6" t="s">
        <v>505</v>
      </c>
      <c r="G141" s="6">
        <v>5</v>
      </c>
      <c r="H141" s="6" t="s">
        <v>506</v>
      </c>
      <c r="I141" s="6" t="s">
        <v>15</v>
      </c>
      <c r="J141" s="6" t="s">
        <v>507</v>
      </c>
      <c r="K141" s="6" t="s">
        <v>38</v>
      </c>
      <c r="L141" s="6" t="s">
        <v>108</v>
      </c>
      <c r="M141" s="6" t="s">
        <v>19</v>
      </c>
      <c r="N141" s="6" t="s">
        <v>20</v>
      </c>
    </row>
    <row r="142" spans="1:14" ht="48.75" thickBot="1" x14ac:dyDescent="0.3">
      <c r="A142" s="6" t="s">
        <v>486</v>
      </c>
      <c r="B142" s="6" t="s">
        <v>487</v>
      </c>
      <c r="C142" s="6" t="s">
        <v>508</v>
      </c>
      <c r="D142" s="6" t="s">
        <v>182</v>
      </c>
      <c r="E142" s="10" t="s">
        <v>34</v>
      </c>
      <c r="F142" s="6" t="s">
        <v>509</v>
      </c>
      <c r="G142" s="6">
        <v>4</v>
      </c>
      <c r="H142" s="6" t="s">
        <v>510</v>
      </c>
      <c r="I142" s="6" t="s">
        <v>15</v>
      </c>
      <c r="J142" s="6" t="s">
        <v>511</v>
      </c>
      <c r="K142" s="6" t="s">
        <v>38</v>
      </c>
      <c r="L142" s="6" t="s">
        <v>108</v>
      </c>
      <c r="M142" s="6" t="s">
        <v>19</v>
      </c>
      <c r="N142" s="10" t="s">
        <v>20</v>
      </c>
    </row>
    <row r="143" spans="1:14" ht="60" x14ac:dyDescent="0.25">
      <c r="A143" s="6" t="s">
        <v>512</v>
      </c>
      <c r="B143" s="6" t="s">
        <v>513</v>
      </c>
      <c r="C143" s="6" t="s">
        <v>514</v>
      </c>
      <c r="D143" s="8" t="s">
        <v>515</v>
      </c>
      <c r="E143" s="6" t="s">
        <v>44</v>
      </c>
      <c r="F143" s="6" t="s">
        <v>516</v>
      </c>
      <c r="G143" s="6">
        <v>10</v>
      </c>
      <c r="H143" s="6">
        <f>- (4.227)</f>
        <v>-4.2270000000000003</v>
      </c>
      <c r="I143" s="6" t="s">
        <v>15</v>
      </c>
      <c r="J143" s="6" t="s">
        <v>517</v>
      </c>
      <c r="K143" s="6" t="s">
        <v>47</v>
      </c>
      <c r="L143" s="7" t="s">
        <v>249</v>
      </c>
      <c r="M143" s="6" t="s">
        <v>49</v>
      </c>
      <c r="N143" s="6" t="s">
        <v>39</v>
      </c>
    </row>
    <row r="144" spans="1:14" ht="60" x14ac:dyDescent="0.25">
      <c r="A144" s="6" t="s">
        <v>512</v>
      </c>
      <c r="B144" s="6" t="s">
        <v>513</v>
      </c>
      <c r="C144" s="6" t="s">
        <v>518</v>
      </c>
      <c r="D144" s="8" t="s">
        <v>515</v>
      </c>
      <c r="E144" s="6" t="s">
        <v>44</v>
      </c>
      <c r="F144" s="6" t="s">
        <v>519</v>
      </c>
      <c r="G144" s="6">
        <v>22</v>
      </c>
      <c r="H144" s="6">
        <f>- (35.221)</f>
        <v>-35.220999999999997</v>
      </c>
      <c r="I144" s="6" t="s">
        <v>15</v>
      </c>
      <c r="J144" s="6" t="s">
        <v>16</v>
      </c>
      <c r="K144" s="6" t="s">
        <v>425</v>
      </c>
      <c r="L144" s="7" t="s">
        <v>108</v>
      </c>
      <c r="M144" s="6" t="s">
        <v>49</v>
      </c>
      <c r="N144" s="6" t="s">
        <v>39</v>
      </c>
    </row>
    <row r="145" spans="1:14" ht="36" x14ac:dyDescent="0.25">
      <c r="A145" s="6" t="s">
        <v>512</v>
      </c>
      <c r="B145" s="6" t="s">
        <v>513</v>
      </c>
      <c r="C145" s="6" t="s">
        <v>281</v>
      </c>
      <c r="D145" s="8" t="s">
        <v>515</v>
      </c>
      <c r="E145" s="6" t="s">
        <v>44</v>
      </c>
      <c r="F145" s="6" t="s">
        <v>520</v>
      </c>
      <c r="G145" s="6">
        <v>16</v>
      </c>
      <c r="H145" s="6">
        <f>- (15.896)</f>
        <v>-15.896000000000001</v>
      </c>
      <c r="I145" s="6" t="s">
        <v>15</v>
      </c>
      <c r="J145" s="6" t="s">
        <v>521</v>
      </c>
      <c r="K145" s="6" t="s">
        <v>425</v>
      </c>
      <c r="L145" s="7" t="s">
        <v>78</v>
      </c>
      <c r="M145" s="6" t="s">
        <v>49</v>
      </c>
      <c r="N145" s="6" t="s">
        <v>39</v>
      </c>
    </row>
    <row r="146" spans="1:14" ht="48" x14ac:dyDescent="0.25">
      <c r="A146" s="6" t="s">
        <v>512</v>
      </c>
      <c r="B146" s="6" t="s">
        <v>513</v>
      </c>
      <c r="C146" s="6" t="s">
        <v>522</v>
      </c>
      <c r="D146" s="8" t="s">
        <v>515</v>
      </c>
      <c r="E146" s="6" t="s">
        <v>44</v>
      </c>
      <c r="F146" s="6" t="s">
        <v>523</v>
      </c>
      <c r="G146" s="6">
        <v>7</v>
      </c>
      <c r="H146" s="6">
        <f>- (3.525)</f>
        <v>-3.5249999999999999</v>
      </c>
      <c r="I146" s="6" t="s">
        <v>15</v>
      </c>
      <c r="J146" s="6" t="s">
        <v>524</v>
      </c>
      <c r="K146" s="6" t="s">
        <v>47</v>
      </c>
      <c r="L146" s="7" t="s">
        <v>108</v>
      </c>
      <c r="M146" s="6" t="s">
        <v>49</v>
      </c>
      <c r="N146" s="6" t="s">
        <v>39</v>
      </c>
    </row>
    <row r="147" spans="1:14" ht="36" x14ac:dyDescent="0.25">
      <c r="A147" s="6" t="s">
        <v>512</v>
      </c>
      <c r="B147" s="6" t="s">
        <v>513</v>
      </c>
      <c r="C147" s="6" t="s">
        <v>525</v>
      </c>
      <c r="D147" s="8" t="s">
        <v>515</v>
      </c>
      <c r="E147" s="6" t="s">
        <v>44</v>
      </c>
      <c r="F147" s="6" t="s">
        <v>247</v>
      </c>
      <c r="G147" s="6">
        <v>6</v>
      </c>
      <c r="H147" s="6">
        <f>- (781)</f>
        <v>-781</v>
      </c>
      <c r="I147" s="6" t="s">
        <v>15</v>
      </c>
      <c r="J147" s="6" t="s">
        <v>526</v>
      </c>
      <c r="K147" s="6" t="s">
        <v>425</v>
      </c>
      <c r="L147" s="7" t="s">
        <v>249</v>
      </c>
      <c r="M147" s="6" t="s">
        <v>49</v>
      </c>
      <c r="N147" s="6" t="s">
        <v>39</v>
      </c>
    </row>
    <row r="148" spans="1:14" ht="48" x14ac:dyDescent="0.25">
      <c r="A148" s="6" t="s">
        <v>512</v>
      </c>
      <c r="B148" s="6" t="s">
        <v>513</v>
      </c>
      <c r="C148" s="6" t="s">
        <v>53</v>
      </c>
      <c r="D148" s="8" t="s">
        <v>515</v>
      </c>
      <c r="E148" s="6" t="s">
        <v>44</v>
      </c>
      <c r="F148" s="6" t="s">
        <v>527</v>
      </c>
      <c r="G148" s="6">
        <v>14</v>
      </c>
      <c r="H148" s="6">
        <f>- (5.65)</f>
        <v>-5.65</v>
      </c>
      <c r="I148" s="6" t="s">
        <v>15</v>
      </c>
      <c r="J148" s="6" t="s">
        <v>528</v>
      </c>
      <c r="K148" s="6" t="s">
        <v>425</v>
      </c>
      <c r="L148" s="7" t="s">
        <v>108</v>
      </c>
      <c r="M148" s="6" t="s">
        <v>49</v>
      </c>
      <c r="N148" s="6" t="s">
        <v>39</v>
      </c>
    </row>
    <row r="149" spans="1:14" ht="36" x14ac:dyDescent="0.25">
      <c r="A149" s="6" t="s">
        <v>512</v>
      </c>
      <c r="B149" s="6" t="s">
        <v>513</v>
      </c>
      <c r="C149" s="6" t="s">
        <v>399</v>
      </c>
      <c r="D149" s="8" t="s">
        <v>515</v>
      </c>
      <c r="E149" s="6" t="s">
        <v>44</v>
      </c>
      <c r="F149" s="6" t="s">
        <v>529</v>
      </c>
      <c r="G149" s="6">
        <v>26</v>
      </c>
      <c r="H149" s="6">
        <f>- (21.94)</f>
        <v>-21.94</v>
      </c>
      <c r="I149" s="6" t="s">
        <v>15</v>
      </c>
      <c r="J149" s="6" t="s">
        <v>530</v>
      </c>
      <c r="K149" s="6" t="s">
        <v>59</v>
      </c>
      <c r="L149" s="7" t="s">
        <v>249</v>
      </c>
      <c r="M149" s="6" t="s">
        <v>49</v>
      </c>
      <c r="N149" s="6" t="s">
        <v>39</v>
      </c>
    </row>
    <row r="150" spans="1:14" ht="72" x14ac:dyDescent="0.25">
      <c r="A150" s="6" t="s">
        <v>512</v>
      </c>
      <c r="B150" s="6" t="s">
        <v>513</v>
      </c>
      <c r="C150" s="6" t="s">
        <v>531</v>
      </c>
      <c r="D150" s="8" t="s">
        <v>515</v>
      </c>
      <c r="E150" s="6" t="s">
        <v>44</v>
      </c>
      <c r="F150" s="6" t="s">
        <v>532</v>
      </c>
      <c r="G150" s="6">
        <v>6</v>
      </c>
      <c r="H150" s="6">
        <f>- (1.079)</f>
        <v>-1.079</v>
      </c>
      <c r="I150" s="6" t="s">
        <v>15</v>
      </c>
      <c r="J150" s="6" t="s">
        <v>533</v>
      </c>
      <c r="K150" s="6" t="s">
        <v>425</v>
      </c>
      <c r="L150" s="7" t="s">
        <v>78</v>
      </c>
      <c r="M150" s="6" t="s">
        <v>49</v>
      </c>
      <c r="N150" s="6" t="s">
        <v>39</v>
      </c>
    </row>
    <row r="151" spans="1:14" ht="48" x14ac:dyDescent="0.25">
      <c r="A151" s="6" t="s">
        <v>512</v>
      </c>
      <c r="B151" s="6" t="s">
        <v>513</v>
      </c>
      <c r="C151" s="6" t="s">
        <v>534</v>
      </c>
      <c r="D151" s="8" t="s">
        <v>515</v>
      </c>
      <c r="E151" s="6" t="s">
        <v>44</v>
      </c>
      <c r="F151" s="6" t="s">
        <v>535</v>
      </c>
      <c r="G151" s="6">
        <v>5</v>
      </c>
      <c r="H151" s="6">
        <f>- (954)</f>
        <v>-954</v>
      </c>
      <c r="I151" s="6" t="s">
        <v>15</v>
      </c>
      <c r="J151" s="6" t="s">
        <v>536</v>
      </c>
      <c r="K151" s="6" t="s">
        <v>425</v>
      </c>
      <c r="L151" s="7" t="s">
        <v>249</v>
      </c>
      <c r="M151" s="6" t="s">
        <v>49</v>
      </c>
      <c r="N151" s="6" t="s">
        <v>39</v>
      </c>
    </row>
    <row r="152" spans="1:14" ht="36" x14ac:dyDescent="0.25">
      <c r="A152" s="6" t="s">
        <v>512</v>
      </c>
      <c r="B152" s="6" t="s">
        <v>513</v>
      </c>
      <c r="C152" s="6" t="s">
        <v>537</v>
      </c>
      <c r="D152" s="8" t="s">
        <v>515</v>
      </c>
      <c r="E152" s="6" t="s">
        <v>44</v>
      </c>
      <c r="F152" s="6" t="s">
        <v>538</v>
      </c>
      <c r="G152" s="6">
        <v>6</v>
      </c>
      <c r="H152" s="6">
        <f>- (5.617)</f>
        <v>-5.617</v>
      </c>
      <c r="I152" s="6" t="s">
        <v>15</v>
      </c>
      <c r="J152" s="6" t="s">
        <v>539</v>
      </c>
      <c r="K152" s="6" t="s">
        <v>425</v>
      </c>
      <c r="L152" s="7" t="s">
        <v>249</v>
      </c>
      <c r="M152" s="6" t="s">
        <v>49</v>
      </c>
      <c r="N152" s="6" t="s">
        <v>39</v>
      </c>
    </row>
    <row r="153" spans="1:14" ht="36" x14ac:dyDescent="0.25">
      <c r="A153" s="6" t="s">
        <v>512</v>
      </c>
      <c r="B153" s="6" t="s">
        <v>513</v>
      </c>
      <c r="C153" s="6" t="s">
        <v>32</v>
      </c>
      <c r="D153" s="8" t="s">
        <v>515</v>
      </c>
      <c r="E153" s="6" t="s">
        <v>44</v>
      </c>
      <c r="F153" s="6" t="s">
        <v>70</v>
      </c>
      <c r="G153" s="6">
        <v>9</v>
      </c>
      <c r="H153" s="6">
        <f>- (3.096)</f>
        <v>-3.0960000000000001</v>
      </c>
      <c r="I153" s="6" t="s">
        <v>15</v>
      </c>
      <c r="J153" s="6" t="s">
        <v>283</v>
      </c>
      <c r="K153" s="6" t="s">
        <v>540</v>
      </c>
      <c r="L153" s="7" t="s">
        <v>249</v>
      </c>
      <c r="M153" s="6" t="s">
        <v>49</v>
      </c>
      <c r="N153" s="6" t="s">
        <v>39</v>
      </c>
    </row>
    <row r="154" spans="1:14" ht="36" x14ac:dyDescent="0.25">
      <c r="A154" s="6" t="s">
        <v>512</v>
      </c>
      <c r="B154" s="6" t="s">
        <v>513</v>
      </c>
      <c r="C154" s="6" t="s">
        <v>541</v>
      </c>
      <c r="D154" s="8" t="s">
        <v>515</v>
      </c>
      <c r="E154" s="6" t="s">
        <v>44</v>
      </c>
      <c r="F154" s="6" t="s">
        <v>542</v>
      </c>
      <c r="G154" s="6">
        <v>4</v>
      </c>
      <c r="H154" s="6">
        <f>- (342)</f>
        <v>-342</v>
      </c>
      <c r="I154" s="6" t="s">
        <v>15</v>
      </c>
      <c r="J154" s="6" t="s">
        <v>543</v>
      </c>
      <c r="K154" s="6" t="s">
        <v>425</v>
      </c>
      <c r="L154" s="7" t="s">
        <v>249</v>
      </c>
      <c r="M154" s="6" t="s">
        <v>49</v>
      </c>
      <c r="N154" s="6" t="s">
        <v>39</v>
      </c>
    </row>
    <row r="155" spans="1:14" ht="48" x14ac:dyDescent="0.25">
      <c r="A155" s="6" t="s">
        <v>512</v>
      </c>
      <c r="B155" s="6" t="s">
        <v>513</v>
      </c>
      <c r="C155" s="6" t="s">
        <v>544</v>
      </c>
      <c r="D155" s="8" t="s">
        <v>515</v>
      </c>
      <c r="E155" s="6" t="s">
        <v>44</v>
      </c>
      <c r="F155" s="6" t="s">
        <v>545</v>
      </c>
      <c r="G155" s="6">
        <v>9</v>
      </c>
      <c r="H155" s="6">
        <f>- (3.349)</f>
        <v>-3.3490000000000002</v>
      </c>
      <c r="I155" s="6" t="s">
        <v>15</v>
      </c>
      <c r="J155" s="6" t="s">
        <v>307</v>
      </c>
      <c r="K155" s="6" t="s">
        <v>540</v>
      </c>
      <c r="L155" s="7" t="s">
        <v>249</v>
      </c>
      <c r="M155" s="6" t="s">
        <v>49</v>
      </c>
      <c r="N155" s="6" t="s">
        <v>39</v>
      </c>
    </row>
    <row r="156" spans="1:14" ht="48" x14ac:dyDescent="0.25">
      <c r="A156" s="6" t="s">
        <v>512</v>
      </c>
      <c r="B156" s="6" t="s">
        <v>513</v>
      </c>
      <c r="C156" s="6" t="s">
        <v>546</v>
      </c>
      <c r="D156" s="8" t="s">
        <v>515</v>
      </c>
      <c r="E156" s="6" t="s">
        <v>44</v>
      </c>
      <c r="F156" s="6" t="s">
        <v>547</v>
      </c>
      <c r="G156" s="6">
        <v>6</v>
      </c>
      <c r="H156" s="6">
        <f>- (7.367)</f>
        <v>-7.367</v>
      </c>
      <c r="I156" s="6" t="s">
        <v>15</v>
      </c>
      <c r="J156" s="6" t="s">
        <v>401</v>
      </c>
      <c r="K156" s="6" t="s">
        <v>355</v>
      </c>
      <c r="L156" s="7" t="s">
        <v>249</v>
      </c>
      <c r="M156" s="6" t="s">
        <v>49</v>
      </c>
      <c r="N156" s="6" t="s">
        <v>39</v>
      </c>
    </row>
    <row r="157" spans="1:14" ht="48" x14ac:dyDescent="0.25">
      <c r="A157" s="6" t="s">
        <v>512</v>
      </c>
      <c r="B157" s="6" t="s">
        <v>513</v>
      </c>
      <c r="C157" s="6" t="s">
        <v>245</v>
      </c>
      <c r="D157" s="8" t="s">
        <v>515</v>
      </c>
      <c r="E157" s="6" t="s">
        <v>44</v>
      </c>
      <c r="F157" s="6" t="s">
        <v>548</v>
      </c>
      <c r="G157" s="6">
        <v>23</v>
      </c>
      <c r="H157" s="6">
        <f>- (11.926)</f>
        <v>-11.926</v>
      </c>
      <c r="I157" s="6" t="s">
        <v>15</v>
      </c>
      <c r="J157" s="6" t="s">
        <v>549</v>
      </c>
      <c r="K157" s="6" t="s">
        <v>47</v>
      </c>
      <c r="L157" s="7" t="s">
        <v>108</v>
      </c>
      <c r="M157" s="6" t="s">
        <v>49</v>
      </c>
      <c r="N157" s="6" t="s">
        <v>39</v>
      </c>
    </row>
    <row r="158" spans="1:14" ht="48" x14ac:dyDescent="0.25">
      <c r="A158" s="6" t="s">
        <v>512</v>
      </c>
      <c r="B158" s="6" t="s">
        <v>513</v>
      </c>
      <c r="C158" s="6" t="s">
        <v>550</v>
      </c>
      <c r="D158" s="8" t="s">
        <v>515</v>
      </c>
      <c r="E158" s="6" t="s">
        <v>44</v>
      </c>
      <c r="F158" s="6" t="s">
        <v>551</v>
      </c>
      <c r="G158" s="6">
        <v>9</v>
      </c>
      <c r="H158" s="6">
        <f>- (1.826)</f>
        <v>-1.8260000000000001</v>
      </c>
      <c r="I158" s="6" t="s">
        <v>15</v>
      </c>
      <c r="J158" s="6" t="s">
        <v>533</v>
      </c>
      <c r="K158" s="6" t="s">
        <v>425</v>
      </c>
      <c r="L158" s="7" t="s">
        <v>249</v>
      </c>
      <c r="M158" s="6" t="s">
        <v>49</v>
      </c>
      <c r="N158" s="6" t="s">
        <v>39</v>
      </c>
    </row>
    <row r="159" spans="1:14" ht="84" x14ac:dyDescent="0.25">
      <c r="A159" s="6" t="s">
        <v>60</v>
      </c>
      <c r="B159" s="6" t="s">
        <v>513</v>
      </c>
      <c r="C159" s="6" t="s">
        <v>68</v>
      </c>
      <c r="D159" s="8" t="s">
        <v>552</v>
      </c>
      <c r="E159" s="6" t="s">
        <v>553</v>
      </c>
      <c r="F159" s="6" t="s">
        <v>554</v>
      </c>
      <c r="G159" s="6">
        <v>5</v>
      </c>
      <c r="H159" s="6" t="s">
        <v>36</v>
      </c>
      <c r="I159" s="6" t="s">
        <v>66</v>
      </c>
      <c r="J159" s="6" t="s">
        <v>555</v>
      </c>
      <c r="K159" s="6" t="s">
        <v>30</v>
      </c>
      <c r="L159" s="7" t="s">
        <v>108</v>
      </c>
      <c r="M159" s="6" t="s">
        <v>19</v>
      </c>
      <c r="N159" s="6" t="s">
        <v>20</v>
      </c>
    </row>
    <row r="160" spans="1:14" ht="84" x14ac:dyDescent="0.25">
      <c r="A160" s="6" t="s">
        <v>60</v>
      </c>
      <c r="B160" s="6" t="s">
        <v>513</v>
      </c>
      <c r="C160" s="6" t="s">
        <v>556</v>
      </c>
      <c r="D160" s="8" t="s">
        <v>552</v>
      </c>
      <c r="E160" s="6" t="s">
        <v>553</v>
      </c>
      <c r="F160" s="6" t="s">
        <v>557</v>
      </c>
      <c r="G160" s="6">
        <v>12</v>
      </c>
      <c r="H160" s="6" t="s">
        <v>558</v>
      </c>
      <c r="I160" s="6" t="s">
        <v>323</v>
      </c>
      <c r="J160" s="6" t="s">
        <v>559</v>
      </c>
      <c r="K160" s="6" t="s">
        <v>560</v>
      </c>
      <c r="L160" s="7" t="s">
        <v>108</v>
      </c>
      <c r="M160" s="6" t="s">
        <v>19</v>
      </c>
      <c r="N160" s="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Elisabeth Jacob</dc:creator>
  <cp:lastModifiedBy>Anna Elisabeth Jacob</cp:lastModifiedBy>
  <dcterms:created xsi:type="dcterms:W3CDTF">2025-12-10T13:20:34Z</dcterms:created>
  <dcterms:modified xsi:type="dcterms:W3CDTF">2025-12-10T14:00:10Z</dcterms:modified>
</cp:coreProperties>
</file>